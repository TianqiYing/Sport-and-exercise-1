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jrre\OneDrive\Documents\Uni\Year 3\Maths and Data Modelling\Project 3 FPL\"/>
    </mc:Choice>
  </mc:AlternateContent>
  <xr:revisionPtr revIDLastSave="0" documentId="13_ncr:1_{84459217-9799-43EC-B157-58338578E4A4}" xr6:coauthVersionLast="47" xr6:coauthVersionMax="47" xr10:uidLastSave="{00000000-0000-0000-0000-000000000000}"/>
  <bookViews>
    <workbookView xWindow="-108" yWindow="-108" windowWidth="23256" windowHeight="13896" xr2:uid="{6BE00737-8581-4113-9953-3E2437BA74CB}"/>
  </bookViews>
  <sheets>
    <sheet name="21.22" sheetId="1" r:id="rId1"/>
    <sheet name="22.23" sheetId="2" r:id="rId2"/>
    <sheet name="23.24" sheetId="3" r:id="rId3"/>
    <sheet name="24.25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7" i="1" l="1"/>
  <c r="Y38" i="1"/>
  <c r="Y39" i="1"/>
  <c r="Y11" i="1"/>
  <c r="Y8" i="1"/>
  <c r="Y35" i="2"/>
  <c r="Y34" i="2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0" i="1"/>
  <c r="Y9" i="1"/>
  <c r="Y7" i="1"/>
  <c r="Y6" i="1"/>
  <c r="Y5" i="1"/>
  <c r="Y4" i="1"/>
  <c r="Y3" i="1"/>
  <c r="Y2" i="1"/>
  <c r="Y39" i="2"/>
  <c r="Y38" i="2"/>
  <c r="Y37" i="2"/>
  <c r="Y36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2" i="3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2" i="4"/>
  <c r="Y3" i="4"/>
  <c r="Y4" i="4"/>
</calcChain>
</file>

<file path=xl/sharedStrings.xml><?xml version="1.0" encoding="utf-8"?>
<sst xmlns="http://schemas.openxmlformats.org/spreadsheetml/2006/main" count="1687" uniqueCount="298">
  <si>
    <t>Gameweek</t>
  </si>
  <si>
    <t>Player 1</t>
  </si>
  <si>
    <t>Player 2</t>
  </si>
  <si>
    <t>Player 3</t>
  </si>
  <si>
    <t>Player 4</t>
  </si>
  <si>
    <t>Player 5</t>
  </si>
  <si>
    <t>Player 6</t>
  </si>
  <si>
    <t>Player 7</t>
  </si>
  <si>
    <t>Player 8</t>
  </si>
  <si>
    <t>Player 9</t>
  </si>
  <si>
    <t>Player 10</t>
  </si>
  <si>
    <t>Player 11</t>
  </si>
  <si>
    <t>Price 1</t>
  </si>
  <si>
    <t>Price 2</t>
  </si>
  <si>
    <t>Price 3</t>
  </si>
  <si>
    <t>Price 4</t>
  </si>
  <si>
    <t>Price 5</t>
  </si>
  <si>
    <t>Price 6</t>
  </si>
  <si>
    <t>Price 7</t>
  </si>
  <si>
    <t>Price 8</t>
  </si>
  <si>
    <t>Price 9</t>
  </si>
  <si>
    <t>Price 10</t>
  </si>
  <si>
    <t>Price 11</t>
  </si>
  <si>
    <t>Emiliano Martinez</t>
  </si>
  <si>
    <t>Trent Alexander-Arnold</t>
  </si>
  <si>
    <t>Reece James</t>
  </si>
  <si>
    <t>Keiran Trippier</t>
  </si>
  <si>
    <t>Mohammed Salah</t>
  </si>
  <si>
    <t>Luiz Diaz</t>
  </si>
  <si>
    <t>Marcus Rashford</t>
  </si>
  <si>
    <t>Leon Bailey</t>
  </si>
  <si>
    <t>Harry Kane</t>
  </si>
  <si>
    <t>Gabriel Jesus</t>
  </si>
  <si>
    <t>Robert Sanchez</t>
  </si>
  <si>
    <t>Joao Cancelo</t>
  </si>
  <si>
    <t>Gabriel</t>
  </si>
  <si>
    <t>Lucas Digne</t>
  </si>
  <si>
    <t>Phil Foden</t>
  </si>
  <si>
    <t>Gabriel Martinelli</t>
  </si>
  <si>
    <t>Jack Harrison</t>
  </si>
  <si>
    <t>Erling Haaland</t>
  </si>
  <si>
    <t>Darwin Nunez</t>
  </si>
  <si>
    <t>Vicente Guaita</t>
  </si>
  <si>
    <t>Dejan Kulusevski</t>
  </si>
  <si>
    <t>James Maddison</t>
  </si>
  <si>
    <t>Mason Mount</t>
  </si>
  <si>
    <t>Ilkay Gundogan</t>
  </si>
  <si>
    <t>Mark Flekken</t>
  </si>
  <si>
    <t>Ben Chilwell</t>
  </si>
  <si>
    <t>Kyle Walker</t>
  </si>
  <si>
    <t>Pedro Porro</t>
  </si>
  <si>
    <t>Mohamed Salah </t>
  </si>
  <si>
    <t>Raheem Sterling</t>
  </si>
  <si>
    <t>Jarrod Bowen</t>
  </si>
  <si>
    <t>Eberechi Eze</t>
  </si>
  <si>
    <t>Julian Alvarez</t>
  </si>
  <si>
    <t>David Raya</t>
  </si>
  <si>
    <t>Kieran Tierney</t>
  </si>
  <si>
    <t>Diogo Jota</t>
  </si>
  <si>
    <t>Ferran Torres</t>
  </si>
  <si>
    <t>Ismaila Sarr</t>
  </si>
  <si>
    <t>Cristiano Ronaldo</t>
  </si>
  <si>
    <t>Michail Antonio</t>
  </si>
  <si>
    <t>Illan Meslier</t>
  </si>
  <si>
    <t>Sergio Reguilon</t>
  </si>
  <si>
    <t>Craig Dawson</t>
  </si>
  <si>
    <t>Bruno Fernandes</t>
  </si>
  <si>
    <t>Son Heung-min</t>
  </si>
  <si>
    <t>Jack Grealish</t>
  </si>
  <si>
    <t>Said Benrahma</t>
  </si>
  <si>
    <t>Dominic Calvert-Lewin</t>
  </si>
  <si>
    <t>Patrick Bamford</t>
  </si>
  <si>
    <t>Luke Shaw</t>
  </si>
  <si>
    <t>Shane Duffy</t>
  </si>
  <si>
    <t>Mohamed Salah</t>
  </si>
  <si>
    <t>Riyad Mahrez</t>
  </si>
  <si>
    <t>Raphinha </t>
  </si>
  <si>
    <t>Nick Pope</t>
  </si>
  <si>
    <t>Ben Mee</t>
  </si>
  <si>
    <t>Rodrigo </t>
  </si>
  <si>
    <t>Ivan Toney</t>
  </si>
  <si>
    <t>Ruben Dias</t>
  </si>
  <si>
    <t>Kevin De Bruyne</t>
  </si>
  <si>
    <t>Aaron Ramsdale</t>
  </si>
  <si>
    <t>Nelson Semedo</t>
  </si>
  <si>
    <t>Mason Greenwood</t>
  </si>
  <si>
    <t>Bukayo Saka</t>
  </si>
  <si>
    <t>Romelu Lukaku</t>
  </si>
  <si>
    <t>Andre Onana</t>
  </si>
  <si>
    <t>John Stones</t>
  </si>
  <si>
    <t>Gabriel </t>
  </si>
  <si>
    <t>Pervis Estupinan</t>
  </si>
  <si>
    <t>Bukayo Saka </t>
  </si>
  <si>
    <t>Joao Pedro</t>
  </si>
  <si>
    <t>Matt Turner</t>
  </si>
  <si>
    <t>Rico Henry</t>
  </si>
  <si>
    <t>Moussa Diaby</t>
  </si>
  <si>
    <t>Bryan Mbeumo</t>
  </si>
  <si>
    <t>Kaoru Mitoma</t>
  </si>
  <si>
    <t>Nicolas Jackson</t>
  </si>
  <si>
    <t>Bernd Leno</t>
  </si>
  <si>
    <t>Serge Aurier</t>
  </si>
  <si>
    <t>Ollie Watkins</t>
  </si>
  <si>
    <t>Pau Torres</t>
  </si>
  <si>
    <t>Rico Lewis</t>
  </si>
  <si>
    <t>Neco Williams</t>
  </si>
  <si>
    <t>Cole Palmer</t>
  </si>
  <si>
    <t>Bryan Mbuemo</t>
  </si>
  <si>
    <t>Noni Madueke</t>
  </si>
  <si>
    <t>Chris Wood</t>
  </si>
  <si>
    <t>Bart Verbruggen</t>
  </si>
  <si>
    <t>Morgan Rogers</t>
  </si>
  <si>
    <t>Rodrigo Muniz</t>
  </si>
  <si>
    <t>Danny Welbeck</t>
  </si>
  <si>
    <t>Ola Aina</t>
  </si>
  <si>
    <t>Kevin Schade</t>
  </si>
  <si>
    <t>Dwight McNeil</t>
  </si>
  <si>
    <t>Liam Delap</t>
  </si>
  <si>
    <t>Luis Diaz</t>
  </si>
  <si>
    <t>Antoine Semenyo</t>
  </si>
  <si>
    <t>Kai Havertz </t>
  </si>
  <si>
    <t>Kepa Arrizabalaga</t>
  </si>
  <si>
    <t>Ibrahima Konate</t>
  </si>
  <si>
    <t>Leif Davis</t>
  </si>
  <si>
    <t>Dominic Solanke</t>
  </si>
  <si>
    <t>Arijanet Muric</t>
  </si>
  <si>
    <t>Josko Gvardiol</t>
  </si>
  <si>
    <t>Nikola Milenkovic</t>
  </si>
  <si>
    <t>Brennan Johnson</t>
  </si>
  <si>
    <t>Emile Smith Rowe</t>
  </si>
  <si>
    <t>Joel Veltman</t>
  </si>
  <si>
    <t>Rayan Ait-Nouri</t>
  </si>
  <si>
    <t>Facundo Buonanotte</t>
  </si>
  <si>
    <t>Matz Sels</t>
  </si>
  <si>
    <t>Matheus Cunha</t>
  </si>
  <si>
    <t>Raul Jimenez</t>
  </si>
  <si>
    <t>Diogo Dalot</t>
  </si>
  <si>
    <t>Jordan Pickford</t>
  </si>
  <si>
    <t>Lewis Hall</t>
  </si>
  <si>
    <t>Alexander Isak</t>
  </si>
  <si>
    <t>Yoane Wissa</t>
  </si>
  <si>
    <t>Joe Gomez</t>
  </si>
  <si>
    <t>Nicolas Jackson </t>
  </si>
  <si>
    <t>Jurrien Timber</t>
  </si>
  <si>
    <t>Evanilson </t>
  </si>
  <si>
    <t>Jamie Vardy</t>
  </si>
  <si>
    <t>Virgil van Dijk</t>
  </si>
  <si>
    <t>Jorgen Strand Larsen</t>
  </si>
  <si>
    <t>Enzo Fernandez</t>
  </si>
  <si>
    <t>Antonee Robinson</t>
  </si>
  <si>
    <t>Lewis Dunk</t>
  </si>
  <si>
    <t>Daniel Munoz</t>
  </si>
  <si>
    <t>Ismaila Sarr </t>
  </si>
  <si>
    <t>Martin Dubravka</t>
  </si>
  <si>
    <t>Anthony Gordon</t>
  </si>
  <si>
    <t>Dean Huijsen</t>
  </si>
  <si>
    <t>Jean-Philippe Mateta</t>
  </si>
  <si>
    <t>Anthony Elanga</t>
  </si>
  <si>
    <t>Cody Gakpo</t>
  </si>
  <si>
    <t>Iliman Ndiaye</t>
  </si>
  <si>
    <t>Milos Kerkez</t>
  </si>
  <si>
    <t>Leandro Trossard</t>
  </si>
  <si>
    <t>Justin Kluivert</t>
  </si>
  <si>
    <t>Kaoru Mitoma </t>
  </si>
  <si>
    <t>Dango Ouattara</t>
  </si>
  <si>
    <t>Dean Henderson</t>
  </si>
  <si>
    <t>Aaron Wan-Bissaka</t>
  </si>
  <si>
    <t>Filip Jorgensen</t>
  </si>
  <si>
    <t>Eddie Nketiah</t>
  </si>
  <si>
    <t>Beto</t>
  </si>
  <si>
    <t>Morgan Gibbs-White</t>
  </si>
  <si>
    <t>Omar Marmoush</t>
  </si>
  <si>
    <t>Jacob Murphy</t>
  </si>
  <si>
    <t>Dan Burn</t>
  </si>
  <si>
    <t>William Saliba</t>
  </si>
  <si>
    <t>Kieran Trippier</t>
  </si>
  <si>
    <t>Ryan Sessegnon</t>
  </si>
  <si>
    <t>Harvey Barnes</t>
  </si>
  <si>
    <t>Alex Iwobi</t>
  </si>
  <si>
    <t>Jake O’Brien</t>
  </si>
  <si>
    <t>Marc Cucurella</t>
  </si>
  <si>
    <t>Jarrad Branthwaite</t>
  </si>
  <si>
    <t>Manuel Akanji</t>
  </si>
  <si>
    <t>Sven Botman</t>
  </si>
  <si>
    <t>Alphonse Areola</t>
  </si>
  <si>
    <t>Ben White </t>
  </si>
  <si>
    <t>Issa Kabore</t>
  </si>
  <si>
    <t>Martin Odegaard</t>
  </si>
  <si>
    <t>Carlton Morris</t>
  </si>
  <si>
    <t>James Tarkowski</t>
  </si>
  <si>
    <t>Thiago Silva</t>
  </si>
  <si>
    <t>Pedro Neto</t>
  </si>
  <si>
    <t>Rasmus Hojlund</t>
  </si>
  <si>
    <t>Konstantinos Tsimikas</t>
  </si>
  <si>
    <t>Diogo Dalot </t>
  </si>
  <si>
    <t>Sam Johnstone</t>
  </si>
  <si>
    <t>Matty Cash</t>
  </si>
  <si>
    <t>Joachim Andersen</t>
  </si>
  <si>
    <t>Evan Ferguson</t>
  </si>
  <si>
    <t>Nayef Aguerd</t>
  </si>
  <si>
    <t>Mohammed Kudus</t>
  </si>
  <si>
    <t>Caoimhin Kelleher</t>
  </si>
  <si>
    <t>Oleksandr Zinchenko</t>
  </si>
  <si>
    <t>Hwang Hee-chan</t>
  </si>
  <si>
    <t>Marcos Senesi</t>
  </si>
  <si>
    <t>Neto </t>
  </si>
  <si>
    <t>Richarlison </t>
  </si>
  <si>
    <t>Nathan Ake</t>
  </si>
  <si>
    <t>Alex Moreno</t>
  </si>
  <si>
    <t>Michael Olise</t>
  </si>
  <si>
    <t>Malo Gusto</t>
  </si>
  <si>
    <t>Pascal Gross</t>
  </si>
  <si>
    <t>Ederson </t>
  </si>
  <si>
    <t>Kevin De Bruyne </t>
  </si>
  <si>
    <t>Alfie Doughty</t>
  </si>
  <si>
    <t>Virgil van Dijk </t>
  </si>
  <si>
    <t>Jose Sa </t>
  </si>
  <si>
    <t>Luis Diaz </t>
  </si>
  <si>
    <t>Nathan Collins</t>
  </si>
  <si>
    <t>Antonee Robinson </t>
  </si>
  <si>
    <t>Conor Bradley</t>
  </si>
  <si>
    <t>Kai Havertz</t>
  </si>
  <si>
    <t>Stefan Ortega</t>
  </si>
  <si>
    <t>Axel Disasi</t>
  </si>
  <si>
    <t>Dean Henderson </t>
  </si>
  <si>
    <t>Max Kilman</t>
  </si>
  <si>
    <t>Djordje Petrovic</t>
  </si>
  <si>
    <t>Fabian Schar</t>
  </si>
  <si>
    <t>Harry Maguire</t>
  </si>
  <si>
    <t>Cristian Romero</t>
  </si>
  <si>
    <t>Hugo Lloris</t>
  </si>
  <si>
    <t>Vitalii Mykolenko</t>
  </si>
  <si>
    <t>James Ward-Prowse</t>
  </si>
  <si>
    <t>Miguel Almiron</t>
  </si>
  <si>
    <t>Aleksandar Mitrovic</t>
  </si>
  <si>
    <t>Kurt Zouma</t>
  </si>
  <si>
    <t>Bernardo </t>
  </si>
  <si>
    <t>Wilfried Zaha</t>
  </si>
  <si>
    <t>Callum Wilson</t>
  </si>
  <si>
    <t>Jose Sa</t>
  </si>
  <si>
    <t>Eric Dier</t>
  </si>
  <si>
    <t>Timothy Castagne</t>
  </si>
  <si>
    <t>Lukasz Fabianski </t>
  </si>
  <si>
    <t>Andrew Robertson</t>
  </si>
  <si>
    <t>Gianluca Scamacca</t>
  </si>
  <si>
    <t>Ben White</t>
  </si>
  <si>
    <t>Andreas Pereira</t>
  </si>
  <si>
    <t>Anthony Martial</t>
  </si>
  <si>
    <t>Wilfried Gnonto</t>
  </si>
  <si>
    <t>Emerson Royal</t>
  </si>
  <si>
    <t>Gavin Bazunu</t>
  </si>
  <si>
    <t>Alexis Mac Allister</t>
  </si>
  <si>
    <t>Jason Steele</t>
  </si>
  <si>
    <t>David De Gea</t>
  </si>
  <si>
    <t>Michael Keane</t>
  </si>
  <si>
    <t>Solly March</t>
  </si>
  <si>
    <t>Diogo Jota </t>
  </si>
  <si>
    <t>Eberechi Eze </t>
  </si>
  <si>
    <t>Jannik Vestergaard</t>
  </si>
  <si>
    <t>Joshua King</t>
  </si>
  <si>
    <t>Cesar Azpilicueta</t>
  </si>
  <si>
    <t>Aymeric Laporte</t>
  </si>
  <si>
    <t>Allan Saint-Maximin</t>
  </si>
  <si>
    <t>Alex McCarthy</t>
  </si>
  <si>
    <t>Andros Townsend</t>
  </si>
  <si>
    <t>Aaron Cresswell</t>
  </si>
  <si>
    <t>Marcal </t>
  </si>
  <si>
    <t>Ethan Pinnock</t>
  </si>
  <si>
    <t>Conor Gallagher</t>
  </si>
  <si>
    <t>Adam Armstrong</t>
  </si>
  <si>
    <t>Bernardo Silva</t>
  </si>
  <si>
    <t>Antonio Rudiger</t>
  </si>
  <si>
    <t>Maxwel Cornet</t>
  </si>
  <si>
    <t>Neal Maupay</t>
  </si>
  <si>
    <t>Jacob Ramsey</t>
  </si>
  <si>
    <t>Armando Broja</t>
  </si>
  <si>
    <t>Alvaro Fernandez</t>
  </si>
  <si>
    <t>Vladimir Coufal</t>
  </si>
  <si>
    <t>Demarai Gray</t>
  </si>
  <si>
    <t>Kostas Tsimikas</t>
  </si>
  <si>
    <t>Lucas Moura</t>
  </si>
  <si>
    <t>Philippe Coutinho</t>
  </si>
  <si>
    <t>Alexandre Lacazette</t>
  </si>
  <si>
    <t>Patson Daka</t>
  </si>
  <si>
    <t>Emiliano Buendia</t>
  </si>
  <si>
    <t>Odsonne Edouard</t>
  </si>
  <si>
    <t>Romain Saiss</t>
  </si>
  <si>
    <t>Sadio Mane</t>
  </si>
  <si>
    <t>Jan Bednarek</t>
  </si>
  <si>
    <t>Joe Willock</t>
  </si>
  <si>
    <t>Che Adams</t>
  </si>
  <si>
    <t>Matt Doherty</t>
  </si>
  <si>
    <t>Wout Weghorst</t>
  </si>
  <si>
    <t>Kasper Schmeichel</t>
  </si>
  <si>
    <t>Teemu Pukki</t>
  </si>
  <si>
    <t>Fraser Forster</t>
  </si>
  <si>
    <t>Jonny </t>
  </si>
  <si>
    <t>Marcos Alonso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</si>
</sst>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FA83-A894-45AF-9397-5DC671B5901D}">
  <dimension ref="A1:Y39"/>
  <sheetViews>
    <sheetView tabSelected="1" topLeftCell="A17" workbookViewId="0">
      <selection activeCell="L30" sqref="L30"/>
    </sheetView>
  </sheetViews>
  <sheetFormatPr defaultRowHeight="14.4" x14ac:dyDescent="0.3"/>
  <cols>
    <col min="1" max="1" width="10.109375" bestFit="1" customWidth="1"/>
    <col min="2" max="2" width="17.6640625" customWidth="1"/>
    <col min="4" max="4" width="17.6640625" customWidth="1"/>
    <col min="6" max="6" width="17.6640625" customWidth="1"/>
    <col min="8" max="8" width="17.6640625" customWidth="1"/>
    <col min="10" max="10" width="17.6640625" customWidth="1"/>
    <col min="12" max="12" width="17.6640625" customWidth="1"/>
    <col min="14" max="14" width="17.6640625" customWidth="1"/>
    <col min="16" max="16" width="17.6640625" customWidth="1"/>
    <col min="18" max="18" width="17.6640625" customWidth="1"/>
    <col min="20" max="20" width="17.6640625" customWidth="1"/>
    <col min="22" max="22" width="17.6640625" customWidth="1"/>
  </cols>
  <sheetData>
    <row r="1" spans="1:25" x14ac:dyDescent="0.3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3">
      <c r="A2">
        <v>1</v>
      </c>
      <c r="Y2">
        <f>SUM(C2:W2)</f>
        <v>0</v>
      </c>
    </row>
    <row r="3" spans="1:25" x14ac:dyDescent="0.3">
      <c r="A3">
        <v>2</v>
      </c>
      <c r="B3" t="s">
        <v>42</v>
      </c>
      <c r="C3">
        <v>4.5</v>
      </c>
      <c r="D3" t="s">
        <v>24</v>
      </c>
      <c r="E3">
        <v>7.5</v>
      </c>
      <c r="F3" t="s">
        <v>72</v>
      </c>
      <c r="G3">
        <v>5.5</v>
      </c>
      <c r="H3" t="s">
        <v>73</v>
      </c>
      <c r="I3">
        <v>4</v>
      </c>
      <c r="J3" t="s">
        <v>74</v>
      </c>
      <c r="K3">
        <v>12.6</v>
      </c>
      <c r="L3" t="s">
        <v>66</v>
      </c>
      <c r="M3">
        <v>12.1</v>
      </c>
      <c r="N3" t="s">
        <v>75</v>
      </c>
      <c r="O3">
        <v>9</v>
      </c>
      <c r="P3" t="s">
        <v>76</v>
      </c>
      <c r="Q3">
        <v>6.5</v>
      </c>
      <c r="R3" t="s">
        <v>69</v>
      </c>
      <c r="S3">
        <v>6.1</v>
      </c>
      <c r="T3" t="s">
        <v>62</v>
      </c>
      <c r="U3">
        <v>7.6</v>
      </c>
      <c r="V3" t="s">
        <v>70</v>
      </c>
      <c r="W3">
        <v>8.1</v>
      </c>
      <c r="Y3">
        <f t="shared" ref="Y3:Y39" si="0">SUM(C3:W3)</f>
        <v>83.499999999999986</v>
      </c>
    </row>
    <row r="4" spans="1:25" x14ac:dyDescent="0.3">
      <c r="A4">
        <v>3</v>
      </c>
      <c r="B4" t="s">
        <v>63</v>
      </c>
      <c r="C4">
        <v>5</v>
      </c>
      <c r="D4" t="s">
        <v>24</v>
      </c>
      <c r="E4">
        <v>7.5</v>
      </c>
      <c r="F4" t="s">
        <v>64</v>
      </c>
      <c r="G4">
        <v>5.0999999999999996</v>
      </c>
      <c r="H4" t="s">
        <v>65</v>
      </c>
      <c r="I4">
        <v>5</v>
      </c>
      <c r="J4" t="s">
        <v>66</v>
      </c>
      <c r="K4">
        <v>12.1</v>
      </c>
      <c r="L4" t="s">
        <v>67</v>
      </c>
      <c r="M4">
        <v>10.1</v>
      </c>
      <c r="N4" t="s">
        <v>68</v>
      </c>
      <c r="O4">
        <v>8</v>
      </c>
      <c r="P4" t="s">
        <v>69</v>
      </c>
      <c r="Q4">
        <v>6.2</v>
      </c>
      <c r="R4" t="s">
        <v>70</v>
      </c>
      <c r="S4">
        <v>8.1999999999999993</v>
      </c>
      <c r="T4" t="s">
        <v>71</v>
      </c>
      <c r="U4">
        <v>7.9</v>
      </c>
      <c r="V4" t="s">
        <v>62</v>
      </c>
      <c r="W4">
        <v>7.7</v>
      </c>
      <c r="Y4">
        <f t="shared" si="0"/>
        <v>82.800000000000011</v>
      </c>
    </row>
    <row r="5" spans="1:25" x14ac:dyDescent="0.3">
      <c r="A5">
        <v>4</v>
      </c>
      <c r="B5" t="s">
        <v>56</v>
      </c>
      <c r="C5">
        <v>4.5999999999999996</v>
      </c>
      <c r="D5" t="s">
        <v>24</v>
      </c>
      <c r="E5">
        <v>7.5</v>
      </c>
      <c r="F5" t="s">
        <v>36</v>
      </c>
      <c r="G5">
        <v>4.9000000000000004</v>
      </c>
      <c r="H5" t="s">
        <v>57</v>
      </c>
      <c r="I5">
        <v>4.9000000000000004</v>
      </c>
      <c r="J5" t="s">
        <v>58</v>
      </c>
      <c r="K5">
        <v>7.6</v>
      </c>
      <c r="L5" t="s">
        <v>51</v>
      </c>
      <c r="M5">
        <v>12.5</v>
      </c>
      <c r="N5" t="s">
        <v>45</v>
      </c>
      <c r="O5">
        <v>7.5</v>
      </c>
      <c r="P5" t="s">
        <v>59</v>
      </c>
      <c r="Q5">
        <v>7.1</v>
      </c>
      <c r="R5" t="s">
        <v>60</v>
      </c>
      <c r="S5">
        <v>6</v>
      </c>
      <c r="T5" t="s">
        <v>61</v>
      </c>
      <c r="U5">
        <v>12.5</v>
      </c>
      <c r="V5" t="s">
        <v>62</v>
      </c>
      <c r="W5">
        <v>7.9</v>
      </c>
      <c r="Y5">
        <f t="shared" si="0"/>
        <v>83</v>
      </c>
    </row>
    <row r="6" spans="1:25" x14ac:dyDescent="0.3">
      <c r="A6">
        <v>5</v>
      </c>
      <c r="B6" t="s">
        <v>83</v>
      </c>
      <c r="C6">
        <v>4.5</v>
      </c>
      <c r="D6" t="s">
        <v>24</v>
      </c>
      <c r="E6">
        <v>7.5</v>
      </c>
      <c r="F6" t="s">
        <v>49</v>
      </c>
      <c r="G6">
        <v>5.5</v>
      </c>
      <c r="H6" t="s">
        <v>84</v>
      </c>
      <c r="I6">
        <v>4.9000000000000004</v>
      </c>
      <c r="J6" t="s">
        <v>27</v>
      </c>
      <c r="K6">
        <v>12.5</v>
      </c>
      <c r="L6" t="s">
        <v>85</v>
      </c>
      <c r="M6">
        <v>7.7</v>
      </c>
      <c r="N6" t="s">
        <v>58</v>
      </c>
      <c r="O6">
        <v>7.7</v>
      </c>
      <c r="P6" t="s">
        <v>59</v>
      </c>
      <c r="Q6">
        <v>7.2</v>
      </c>
      <c r="R6" t="s">
        <v>86</v>
      </c>
      <c r="S6">
        <v>6.3</v>
      </c>
      <c r="T6" t="s">
        <v>87</v>
      </c>
      <c r="U6">
        <v>11.6</v>
      </c>
      <c r="V6" t="s">
        <v>71</v>
      </c>
      <c r="W6">
        <v>7.9</v>
      </c>
      <c r="Y6">
        <f t="shared" si="0"/>
        <v>83.300000000000011</v>
      </c>
    </row>
    <row r="7" spans="1:25" x14ac:dyDescent="0.3">
      <c r="A7">
        <v>6</v>
      </c>
      <c r="B7" t="s">
        <v>42</v>
      </c>
      <c r="C7">
        <v>4.5</v>
      </c>
      <c r="D7" t="s">
        <v>24</v>
      </c>
      <c r="E7">
        <v>7.6</v>
      </c>
      <c r="F7" t="s">
        <v>72</v>
      </c>
      <c r="G7">
        <v>5.5</v>
      </c>
      <c r="H7" t="s">
        <v>258</v>
      </c>
      <c r="I7">
        <v>4.9000000000000004</v>
      </c>
      <c r="J7" t="s">
        <v>27</v>
      </c>
      <c r="K7">
        <v>12.6</v>
      </c>
      <c r="L7" t="s">
        <v>237</v>
      </c>
      <c r="M7">
        <v>6.9</v>
      </c>
      <c r="N7" t="s">
        <v>177</v>
      </c>
      <c r="O7">
        <v>6.8</v>
      </c>
      <c r="P7" t="s">
        <v>60</v>
      </c>
      <c r="Q7">
        <v>6.1</v>
      </c>
      <c r="R7" t="s">
        <v>58</v>
      </c>
      <c r="S7">
        <v>7.7</v>
      </c>
      <c r="T7" t="s">
        <v>61</v>
      </c>
      <c r="U7">
        <v>12.7</v>
      </c>
      <c r="V7" t="s">
        <v>62</v>
      </c>
      <c r="W7">
        <v>7.9</v>
      </c>
      <c r="Y7">
        <f t="shared" si="0"/>
        <v>83.2</v>
      </c>
    </row>
    <row r="8" spans="1:25" x14ac:dyDescent="0.3">
      <c r="A8">
        <v>7</v>
      </c>
      <c r="B8" t="s">
        <v>83</v>
      </c>
      <c r="C8">
        <v>4.5</v>
      </c>
      <c r="D8" t="s">
        <v>265</v>
      </c>
      <c r="E8">
        <v>5.5</v>
      </c>
      <c r="F8" t="s">
        <v>78</v>
      </c>
      <c r="G8">
        <v>4.9000000000000004</v>
      </c>
      <c r="H8" t="s">
        <v>266</v>
      </c>
      <c r="I8">
        <v>4.5999999999999996</v>
      </c>
      <c r="J8" t="s">
        <v>27</v>
      </c>
      <c r="K8">
        <v>12.6</v>
      </c>
      <c r="L8" t="s">
        <v>76</v>
      </c>
      <c r="M8">
        <v>6.5</v>
      </c>
      <c r="N8" t="s">
        <v>60</v>
      </c>
      <c r="O8">
        <v>6.3</v>
      </c>
      <c r="P8" t="s">
        <v>86</v>
      </c>
      <c r="Q8">
        <v>6.2</v>
      </c>
      <c r="R8" t="s">
        <v>61</v>
      </c>
      <c r="S8">
        <v>12.7</v>
      </c>
      <c r="T8" t="s">
        <v>87</v>
      </c>
      <c r="U8">
        <v>11.7</v>
      </c>
      <c r="V8" t="s">
        <v>62</v>
      </c>
      <c r="W8">
        <v>8</v>
      </c>
      <c r="Y8">
        <f t="shared" si="0"/>
        <v>83.5</v>
      </c>
    </row>
    <row r="9" spans="1:25" x14ac:dyDescent="0.3">
      <c r="A9">
        <v>8</v>
      </c>
      <c r="B9" t="s">
        <v>83</v>
      </c>
      <c r="C9">
        <v>4.5999999999999996</v>
      </c>
      <c r="D9" t="s">
        <v>260</v>
      </c>
      <c r="E9">
        <v>6.1</v>
      </c>
      <c r="F9" t="s">
        <v>261</v>
      </c>
      <c r="G9">
        <v>5.5</v>
      </c>
      <c r="H9" t="s">
        <v>150</v>
      </c>
      <c r="I9">
        <v>5</v>
      </c>
      <c r="J9" t="s">
        <v>27</v>
      </c>
      <c r="K9">
        <v>12.7</v>
      </c>
      <c r="L9" t="s">
        <v>67</v>
      </c>
      <c r="M9">
        <v>10.1</v>
      </c>
      <c r="N9" t="s">
        <v>68</v>
      </c>
      <c r="O9">
        <v>7.9</v>
      </c>
      <c r="P9" t="s">
        <v>86</v>
      </c>
      <c r="Q9">
        <v>6.3</v>
      </c>
      <c r="R9" t="s">
        <v>145</v>
      </c>
      <c r="S9">
        <v>10.5</v>
      </c>
      <c r="T9" t="s">
        <v>62</v>
      </c>
      <c r="U9">
        <v>8</v>
      </c>
      <c r="V9" t="s">
        <v>262</v>
      </c>
      <c r="W9">
        <v>6.8</v>
      </c>
      <c r="Y9">
        <f t="shared" si="0"/>
        <v>83.499999999999986</v>
      </c>
    </row>
    <row r="10" spans="1:25" x14ac:dyDescent="0.3">
      <c r="A10">
        <v>9</v>
      </c>
      <c r="B10" t="s">
        <v>263</v>
      </c>
      <c r="C10">
        <v>4.5</v>
      </c>
      <c r="D10" t="s">
        <v>260</v>
      </c>
      <c r="E10">
        <v>6.2</v>
      </c>
      <c r="F10" t="s">
        <v>261</v>
      </c>
      <c r="G10">
        <v>5.5</v>
      </c>
      <c r="H10" t="s">
        <v>36</v>
      </c>
      <c r="I10">
        <v>5.3</v>
      </c>
      <c r="J10" t="s">
        <v>27</v>
      </c>
      <c r="K10">
        <v>12.8</v>
      </c>
      <c r="L10" t="s">
        <v>67</v>
      </c>
      <c r="M10">
        <v>10.1</v>
      </c>
      <c r="N10" t="s">
        <v>221</v>
      </c>
      <c r="O10">
        <v>8.1</v>
      </c>
      <c r="P10" t="s">
        <v>76</v>
      </c>
      <c r="Q10">
        <v>6.6</v>
      </c>
      <c r="R10" t="s">
        <v>264</v>
      </c>
      <c r="S10">
        <v>5.7</v>
      </c>
      <c r="T10" t="s">
        <v>145</v>
      </c>
      <c r="U10">
        <v>10.6</v>
      </c>
      <c r="V10" t="s">
        <v>62</v>
      </c>
      <c r="W10">
        <v>8.1</v>
      </c>
      <c r="Y10">
        <f t="shared" si="0"/>
        <v>83.499999999999986</v>
      </c>
    </row>
    <row r="11" spans="1:25" x14ac:dyDescent="0.3">
      <c r="A11">
        <v>10</v>
      </c>
      <c r="B11" t="s">
        <v>263</v>
      </c>
      <c r="C11">
        <v>5</v>
      </c>
      <c r="D11" t="s">
        <v>24</v>
      </c>
      <c r="E11">
        <v>7.6</v>
      </c>
      <c r="F11" t="s">
        <v>34</v>
      </c>
      <c r="G11">
        <v>6.4</v>
      </c>
      <c r="H11" t="s">
        <v>48</v>
      </c>
      <c r="I11">
        <v>5.8</v>
      </c>
      <c r="J11" t="s">
        <v>27</v>
      </c>
      <c r="K11">
        <v>12.9</v>
      </c>
      <c r="L11" t="s">
        <v>67</v>
      </c>
      <c r="M11">
        <v>10.199999999999999</v>
      </c>
      <c r="N11" t="s">
        <v>221</v>
      </c>
      <c r="O11">
        <v>8.1</v>
      </c>
      <c r="P11" t="s">
        <v>37</v>
      </c>
      <c r="Q11">
        <v>8.1</v>
      </c>
      <c r="R11" t="s">
        <v>62</v>
      </c>
      <c r="S11">
        <v>8.1999999999999993</v>
      </c>
      <c r="T11" t="s">
        <v>203</v>
      </c>
      <c r="U11">
        <v>5.7</v>
      </c>
      <c r="V11" t="s">
        <v>259</v>
      </c>
      <c r="W11">
        <v>5.6</v>
      </c>
      <c r="Y11">
        <f t="shared" si="0"/>
        <v>83.600000000000009</v>
      </c>
    </row>
    <row r="12" spans="1:25" x14ac:dyDescent="0.3">
      <c r="A12">
        <v>11</v>
      </c>
      <c r="B12" t="s">
        <v>83</v>
      </c>
      <c r="C12">
        <v>4.7</v>
      </c>
      <c r="D12" t="s">
        <v>48</v>
      </c>
      <c r="E12">
        <v>6</v>
      </c>
      <c r="F12" t="s">
        <v>150</v>
      </c>
      <c r="G12">
        <v>5</v>
      </c>
      <c r="H12" t="s">
        <v>267</v>
      </c>
      <c r="I12">
        <v>4.7</v>
      </c>
      <c r="J12" t="s">
        <v>27</v>
      </c>
      <c r="K12">
        <v>12.9</v>
      </c>
      <c r="L12" t="s">
        <v>37</v>
      </c>
      <c r="M12">
        <v>8.1999999999999993</v>
      </c>
      <c r="N12" t="s">
        <v>76</v>
      </c>
      <c r="O12">
        <v>6.6</v>
      </c>
      <c r="P12" t="s">
        <v>129</v>
      </c>
      <c r="Q12">
        <v>5.6</v>
      </c>
      <c r="R12" t="s">
        <v>31</v>
      </c>
      <c r="S12">
        <v>12.1</v>
      </c>
      <c r="T12" t="s">
        <v>145</v>
      </c>
      <c r="U12">
        <v>10.8</v>
      </c>
      <c r="V12" t="s">
        <v>80</v>
      </c>
      <c r="W12">
        <v>6.6</v>
      </c>
      <c r="Y12">
        <f t="shared" si="0"/>
        <v>83.199999999999989</v>
      </c>
    </row>
    <row r="13" spans="1:25" x14ac:dyDescent="0.3">
      <c r="A13">
        <v>12</v>
      </c>
      <c r="B13" t="s">
        <v>42</v>
      </c>
      <c r="C13">
        <v>4.5999999999999996</v>
      </c>
      <c r="D13" t="s">
        <v>24</v>
      </c>
      <c r="E13">
        <v>7.7</v>
      </c>
      <c r="F13" t="s">
        <v>34</v>
      </c>
      <c r="G13">
        <v>6.5</v>
      </c>
      <c r="H13" t="s">
        <v>25</v>
      </c>
      <c r="I13">
        <v>5.9</v>
      </c>
      <c r="J13" t="s">
        <v>27</v>
      </c>
      <c r="K13">
        <v>13</v>
      </c>
      <c r="L13" t="s">
        <v>37</v>
      </c>
      <c r="M13">
        <v>8.3000000000000007</v>
      </c>
      <c r="N13" t="s">
        <v>53</v>
      </c>
      <c r="O13">
        <v>6.3</v>
      </c>
      <c r="P13" t="s">
        <v>268</v>
      </c>
      <c r="Q13">
        <v>5.9</v>
      </c>
      <c r="R13" t="s">
        <v>31</v>
      </c>
      <c r="S13">
        <v>12.2</v>
      </c>
      <c r="T13" t="s">
        <v>238</v>
      </c>
      <c r="U13">
        <v>7.4</v>
      </c>
      <c r="V13" t="s">
        <v>269</v>
      </c>
      <c r="W13">
        <v>5.9</v>
      </c>
      <c r="Y13">
        <f t="shared" si="0"/>
        <v>83.7</v>
      </c>
    </row>
    <row r="14" spans="1:25" x14ac:dyDescent="0.3">
      <c r="A14">
        <v>13</v>
      </c>
      <c r="B14" t="s">
        <v>83</v>
      </c>
      <c r="C14">
        <v>4.8</v>
      </c>
      <c r="D14" t="s">
        <v>24</v>
      </c>
      <c r="E14">
        <v>7.8</v>
      </c>
      <c r="F14" t="s">
        <v>34</v>
      </c>
      <c r="G14">
        <v>6.6</v>
      </c>
      <c r="H14" t="s">
        <v>25</v>
      </c>
      <c r="I14">
        <v>6.1</v>
      </c>
      <c r="J14" t="s">
        <v>27</v>
      </c>
      <c r="K14">
        <v>13</v>
      </c>
      <c r="L14" t="s">
        <v>270</v>
      </c>
      <c r="M14">
        <v>7.2</v>
      </c>
      <c r="N14" t="s">
        <v>58</v>
      </c>
      <c r="O14">
        <v>7.5</v>
      </c>
      <c r="P14" t="s">
        <v>268</v>
      </c>
      <c r="Q14">
        <v>6</v>
      </c>
      <c r="R14" t="s">
        <v>129</v>
      </c>
      <c r="S14">
        <v>5.9</v>
      </c>
      <c r="T14" t="s">
        <v>31</v>
      </c>
      <c r="U14">
        <v>12.2</v>
      </c>
      <c r="V14" t="s">
        <v>259</v>
      </c>
      <c r="W14">
        <v>5.6</v>
      </c>
      <c r="Y14">
        <f t="shared" si="0"/>
        <v>82.7</v>
      </c>
    </row>
    <row r="15" spans="1:25" x14ac:dyDescent="0.3">
      <c r="A15">
        <v>14</v>
      </c>
      <c r="B15" t="s">
        <v>239</v>
      </c>
      <c r="C15">
        <v>5</v>
      </c>
      <c r="D15" t="s">
        <v>24</v>
      </c>
      <c r="E15">
        <v>7.9</v>
      </c>
      <c r="F15" t="s">
        <v>34</v>
      </c>
      <c r="G15">
        <v>6.7</v>
      </c>
      <c r="H15" t="s">
        <v>25</v>
      </c>
      <c r="I15">
        <v>6.3</v>
      </c>
      <c r="J15" t="s">
        <v>64</v>
      </c>
      <c r="K15">
        <v>5.0999999999999996</v>
      </c>
      <c r="L15" t="s">
        <v>27</v>
      </c>
      <c r="M15">
        <v>13</v>
      </c>
      <c r="N15" t="s">
        <v>67</v>
      </c>
      <c r="O15">
        <v>10.4</v>
      </c>
      <c r="P15" t="s">
        <v>45</v>
      </c>
      <c r="Q15">
        <v>7.5</v>
      </c>
      <c r="R15" t="s">
        <v>76</v>
      </c>
      <c r="S15">
        <v>6.6</v>
      </c>
      <c r="T15" t="s">
        <v>135</v>
      </c>
      <c r="U15">
        <v>7.8</v>
      </c>
      <c r="V15" t="s">
        <v>238</v>
      </c>
      <c r="W15">
        <v>7.4</v>
      </c>
      <c r="Y15">
        <f t="shared" si="0"/>
        <v>83.7</v>
      </c>
    </row>
    <row r="16" spans="1:25" x14ac:dyDescent="0.3">
      <c r="A16">
        <v>15</v>
      </c>
      <c r="B16" t="s">
        <v>263</v>
      </c>
      <c r="C16">
        <v>4.5999999999999996</v>
      </c>
      <c r="D16" t="s">
        <v>24</v>
      </c>
      <c r="E16">
        <v>8</v>
      </c>
      <c r="F16" t="s">
        <v>34</v>
      </c>
      <c r="G16">
        <v>6.7</v>
      </c>
      <c r="H16" t="s">
        <v>271</v>
      </c>
      <c r="I16">
        <v>6</v>
      </c>
      <c r="J16" t="s">
        <v>27</v>
      </c>
      <c r="K16">
        <v>13</v>
      </c>
      <c r="L16" t="s">
        <v>67</v>
      </c>
      <c r="M16">
        <v>10.4</v>
      </c>
      <c r="N16" t="s">
        <v>37</v>
      </c>
      <c r="O16">
        <v>8.1</v>
      </c>
      <c r="P16" t="s">
        <v>76</v>
      </c>
      <c r="Q16">
        <v>6.7</v>
      </c>
      <c r="R16" t="s">
        <v>272</v>
      </c>
      <c r="S16">
        <v>6.1</v>
      </c>
      <c r="T16" t="s">
        <v>102</v>
      </c>
      <c r="U16">
        <v>7.4</v>
      </c>
      <c r="V16" t="s">
        <v>80</v>
      </c>
      <c r="W16">
        <v>6.7</v>
      </c>
      <c r="Y16">
        <f t="shared" si="0"/>
        <v>83.7</v>
      </c>
    </row>
    <row r="17" spans="1:25" x14ac:dyDescent="0.3">
      <c r="A17">
        <v>16</v>
      </c>
      <c r="B17" t="s">
        <v>83</v>
      </c>
      <c r="C17">
        <v>5</v>
      </c>
      <c r="D17" t="s">
        <v>24</v>
      </c>
      <c r="E17">
        <v>8.1</v>
      </c>
      <c r="F17" t="s">
        <v>34</v>
      </c>
      <c r="G17">
        <v>6.8</v>
      </c>
      <c r="H17" t="s">
        <v>25</v>
      </c>
      <c r="I17">
        <v>6.2</v>
      </c>
      <c r="J17" t="s">
        <v>27</v>
      </c>
      <c r="K17">
        <v>13.1</v>
      </c>
      <c r="L17" t="s">
        <v>270</v>
      </c>
      <c r="M17">
        <v>7.6</v>
      </c>
      <c r="N17" t="s">
        <v>45</v>
      </c>
      <c r="O17">
        <v>7.5</v>
      </c>
      <c r="P17" t="s">
        <v>53</v>
      </c>
      <c r="Q17">
        <v>6.5</v>
      </c>
      <c r="R17" t="s">
        <v>86</v>
      </c>
      <c r="S17">
        <v>6.2</v>
      </c>
      <c r="T17" t="s">
        <v>145</v>
      </c>
      <c r="U17">
        <v>10.7</v>
      </c>
      <c r="V17" t="s">
        <v>259</v>
      </c>
      <c r="W17">
        <v>5.8</v>
      </c>
      <c r="Y17">
        <f t="shared" si="0"/>
        <v>83.5</v>
      </c>
    </row>
    <row r="18" spans="1:25" x14ac:dyDescent="0.3">
      <c r="A18">
        <v>17</v>
      </c>
      <c r="Y18">
        <f t="shared" si="0"/>
        <v>0</v>
      </c>
    </row>
    <row r="19" spans="1:25" x14ac:dyDescent="0.3">
      <c r="A19">
        <v>18</v>
      </c>
      <c r="Y19">
        <f t="shared" si="0"/>
        <v>0</v>
      </c>
    </row>
    <row r="20" spans="1:25" x14ac:dyDescent="0.3">
      <c r="A20">
        <v>19</v>
      </c>
      <c r="B20" t="s">
        <v>253</v>
      </c>
      <c r="C20">
        <v>5.0999999999999996</v>
      </c>
      <c r="D20" t="s">
        <v>34</v>
      </c>
      <c r="E20">
        <v>6.8</v>
      </c>
      <c r="F20" t="s">
        <v>25</v>
      </c>
      <c r="G20">
        <v>6.3</v>
      </c>
      <c r="H20" t="s">
        <v>64</v>
      </c>
      <c r="I20">
        <v>5.2</v>
      </c>
      <c r="J20" t="s">
        <v>67</v>
      </c>
      <c r="K20">
        <v>10.3</v>
      </c>
      <c r="L20" t="s">
        <v>75</v>
      </c>
      <c r="M20">
        <v>8.6</v>
      </c>
      <c r="N20" t="s">
        <v>29</v>
      </c>
      <c r="O20">
        <v>9.4</v>
      </c>
      <c r="P20" t="s">
        <v>270</v>
      </c>
      <c r="Q20">
        <v>7.6</v>
      </c>
      <c r="R20" t="s">
        <v>38</v>
      </c>
      <c r="S20">
        <v>5.3</v>
      </c>
      <c r="T20" t="s">
        <v>61</v>
      </c>
      <c r="U20">
        <v>12.5</v>
      </c>
      <c r="V20" t="s">
        <v>275</v>
      </c>
      <c r="W20">
        <v>5.4</v>
      </c>
      <c r="Y20">
        <f t="shared" si="0"/>
        <v>82.500000000000014</v>
      </c>
    </row>
    <row r="21" spans="1:25" x14ac:dyDescent="0.3">
      <c r="A21">
        <v>20</v>
      </c>
      <c r="B21" t="s">
        <v>253</v>
      </c>
      <c r="C21">
        <v>5.0999999999999996</v>
      </c>
      <c r="D21" t="s">
        <v>34</v>
      </c>
      <c r="E21">
        <v>6.9</v>
      </c>
      <c r="F21" t="s">
        <v>25</v>
      </c>
      <c r="G21">
        <v>6.4</v>
      </c>
      <c r="H21" t="s">
        <v>64</v>
      </c>
      <c r="I21">
        <v>5.3</v>
      </c>
      <c r="J21" t="s">
        <v>279</v>
      </c>
      <c r="K21">
        <v>3.7</v>
      </c>
      <c r="L21" t="s">
        <v>27</v>
      </c>
      <c r="M21">
        <v>13</v>
      </c>
      <c r="N21" t="s">
        <v>58</v>
      </c>
      <c r="O21">
        <v>8.1</v>
      </c>
      <c r="P21" t="s">
        <v>270</v>
      </c>
      <c r="Q21">
        <v>7.6</v>
      </c>
      <c r="R21" t="s">
        <v>45</v>
      </c>
      <c r="S21">
        <v>7.7</v>
      </c>
      <c r="T21" t="s">
        <v>61</v>
      </c>
      <c r="U21">
        <v>12.5</v>
      </c>
      <c r="V21" t="s">
        <v>62</v>
      </c>
      <c r="W21">
        <v>7.7</v>
      </c>
      <c r="Y21">
        <f t="shared" si="0"/>
        <v>84.000000000000014</v>
      </c>
    </row>
    <row r="22" spans="1:25" x14ac:dyDescent="0.3">
      <c r="A22">
        <v>21</v>
      </c>
      <c r="B22" t="s">
        <v>276</v>
      </c>
      <c r="C22">
        <v>4.5</v>
      </c>
      <c r="D22" t="s">
        <v>64</v>
      </c>
      <c r="E22">
        <v>5.3</v>
      </c>
      <c r="F22" t="s">
        <v>254</v>
      </c>
      <c r="G22">
        <v>4.9000000000000004</v>
      </c>
      <c r="H22" t="s">
        <v>277</v>
      </c>
      <c r="I22">
        <v>4.7</v>
      </c>
      <c r="J22" t="s">
        <v>82</v>
      </c>
      <c r="K22">
        <v>11.9</v>
      </c>
      <c r="L22" t="s">
        <v>67</v>
      </c>
      <c r="M22">
        <v>10.5</v>
      </c>
      <c r="N22" t="s">
        <v>53</v>
      </c>
      <c r="O22">
        <v>6.6</v>
      </c>
      <c r="P22" t="s">
        <v>278</v>
      </c>
      <c r="Q22">
        <v>5.5</v>
      </c>
      <c r="R22" t="s">
        <v>31</v>
      </c>
      <c r="S22">
        <v>12.2</v>
      </c>
      <c r="T22" t="s">
        <v>62</v>
      </c>
      <c r="U22">
        <v>7.8</v>
      </c>
      <c r="V22" t="s">
        <v>80</v>
      </c>
      <c r="W22">
        <v>6.6</v>
      </c>
      <c r="Y22">
        <f t="shared" si="0"/>
        <v>80.5</v>
      </c>
    </row>
    <row r="23" spans="1:25" x14ac:dyDescent="0.3">
      <c r="A23">
        <v>22</v>
      </c>
      <c r="B23" t="s">
        <v>253</v>
      </c>
      <c r="C23">
        <v>5.2</v>
      </c>
      <c r="D23" t="s">
        <v>24</v>
      </c>
      <c r="E23">
        <v>8.4</v>
      </c>
      <c r="F23" t="s">
        <v>271</v>
      </c>
      <c r="G23">
        <v>6.2</v>
      </c>
      <c r="H23" t="s">
        <v>249</v>
      </c>
      <c r="I23">
        <v>5</v>
      </c>
      <c r="J23" t="s">
        <v>58</v>
      </c>
      <c r="K23">
        <v>8.3000000000000007</v>
      </c>
      <c r="L23" t="s">
        <v>45</v>
      </c>
      <c r="M23">
        <v>7.7</v>
      </c>
      <c r="N23" t="s">
        <v>53</v>
      </c>
      <c r="O23">
        <v>6.7</v>
      </c>
      <c r="P23" t="s">
        <v>280</v>
      </c>
      <c r="Q23">
        <v>6.5</v>
      </c>
      <c r="R23" t="s">
        <v>61</v>
      </c>
      <c r="S23">
        <v>12.5</v>
      </c>
      <c r="T23" t="s">
        <v>31</v>
      </c>
      <c r="U23">
        <v>12.2</v>
      </c>
      <c r="V23" t="s">
        <v>259</v>
      </c>
      <c r="W23">
        <v>5.8</v>
      </c>
      <c r="Y23">
        <f t="shared" si="0"/>
        <v>84.5</v>
      </c>
    </row>
    <row r="24" spans="1:25" x14ac:dyDescent="0.3">
      <c r="A24">
        <v>23</v>
      </c>
      <c r="B24" t="s">
        <v>239</v>
      </c>
      <c r="C24">
        <v>5.2</v>
      </c>
      <c r="D24" t="s">
        <v>24</v>
      </c>
      <c r="E24">
        <v>8.4</v>
      </c>
      <c r="F24" t="s">
        <v>34</v>
      </c>
      <c r="G24">
        <v>7</v>
      </c>
      <c r="H24" t="s">
        <v>57</v>
      </c>
      <c r="I24">
        <v>5</v>
      </c>
      <c r="J24" t="s">
        <v>82</v>
      </c>
      <c r="K24">
        <v>12.1</v>
      </c>
      <c r="L24" t="s">
        <v>58</v>
      </c>
      <c r="M24">
        <v>8.4</v>
      </c>
      <c r="N24" t="s">
        <v>281</v>
      </c>
      <c r="O24">
        <v>7</v>
      </c>
      <c r="P24" t="s">
        <v>53</v>
      </c>
      <c r="Q24">
        <v>6.8</v>
      </c>
      <c r="R24" t="s">
        <v>76</v>
      </c>
      <c r="S24">
        <v>6.5</v>
      </c>
      <c r="T24" t="s">
        <v>282</v>
      </c>
      <c r="U24">
        <v>8.4</v>
      </c>
      <c r="V24" t="s">
        <v>283</v>
      </c>
      <c r="W24">
        <v>7.1</v>
      </c>
      <c r="Y24">
        <f t="shared" si="0"/>
        <v>81.900000000000006</v>
      </c>
    </row>
    <row r="25" spans="1:25" x14ac:dyDescent="0.3">
      <c r="A25">
        <v>24</v>
      </c>
      <c r="B25" t="s">
        <v>253</v>
      </c>
      <c r="C25">
        <v>5.2</v>
      </c>
      <c r="D25" t="s">
        <v>24</v>
      </c>
      <c r="E25">
        <v>8.5</v>
      </c>
      <c r="F25" t="s">
        <v>34</v>
      </c>
      <c r="G25">
        <v>7.1</v>
      </c>
      <c r="H25" t="s">
        <v>265</v>
      </c>
      <c r="I25">
        <v>5.3</v>
      </c>
      <c r="J25" t="s">
        <v>82</v>
      </c>
      <c r="K25">
        <v>12.2</v>
      </c>
      <c r="L25" t="s">
        <v>67</v>
      </c>
      <c r="M25">
        <v>10.6</v>
      </c>
      <c r="N25" t="s">
        <v>58</v>
      </c>
      <c r="O25">
        <v>8.4</v>
      </c>
      <c r="P25" t="s">
        <v>53</v>
      </c>
      <c r="Q25">
        <v>6.9</v>
      </c>
      <c r="R25" t="s">
        <v>284</v>
      </c>
      <c r="S25">
        <v>6.2</v>
      </c>
      <c r="T25" t="s">
        <v>285</v>
      </c>
      <c r="U25">
        <v>6.5</v>
      </c>
      <c r="V25" t="s">
        <v>109</v>
      </c>
      <c r="W25">
        <v>6.7</v>
      </c>
      <c r="Y25">
        <f t="shared" si="0"/>
        <v>83.600000000000009</v>
      </c>
    </row>
    <row r="26" spans="1:25" x14ac:dyDescent="0.3">
      <c r="A26">
        <v>25</v>
      </c>
      <c r="B26" t="s">
        <v>253</v>
      </c>
      <c r="C26">
        <v>5.3</v>
      </c>
      <c r="D26" t="s">
        <v>24</v>
      </c>
      <c r="E26">
        <v>8.5</v>
      </c>
      <c r="F26" t="s">
        <v>180</v>
      </c>
      <c r="G26">
        <v>5.0999999999999996</v>
      </c>
      <c r="H26" t="s">
        <v>249</v>
      </c>
      <c r="I26">
        <v>4.9000000000000004</v>
      </c>
      <c r="J26" t="s">
        <v>27</v>
      </c>
      <c r="K26">
        <v>12.8</v>
      </c>
      <c r="L26" t="s">
        <v>66</v>
      </c>
      <c r="M26">
        <v>11.7</v>
      </c>
      <c r="N26" t="s">
        <v>53</v>
      </c>
      <c r="O26">
        <v>6.9</v>
      </c>
      <c r="P26" t="s">
        <v>209</v>
      </c>
      <c r="Q26">
        <v>5.4</v>
      </c>
      <c r="R26" t="s">
        <v>274</v>
      </c>
      <c r="S26">
        <v>4.7</v>
      </c>
      <c r="T26" t="s">
        <v>61</v>
      </c>
      <c r="U26">
        <v>12.5</v>
      </c>
      <c r="V26" t="s">
        <v>273</v>
      </c>
      <c r="W26">
        <v>6.5</v>
      </c>
      <c r="Y26">
        <f t="shared" si="0"/>
        <v>84.3</v>
      </c>
    </row>
    <row r="27" spans="1:25" x14ac:dyDescent="0.3">
      <c r="A27">
        <v>26</v>
      </c>
      <c r="B27" t="s">
        <v>77</v>
      </c>
      <c r="C27">
        <v>5.4</v>
      </c>
      <c r="D27" t="s">
        <v>24</v>
      </c>
      <c r="E27">
        <v>8.5</v>
      </c>
      <c r="F27" t="s">
        <v>90</v>
      </c>
      <c r="G27">
        <v>5.3</v>
      </c>
      <c r="H27" t="s">
        <v>286</v>
      </c>
      <c r="I27">
        <v>5</v>
      </c>
      <c r="J27" t="s">
        <v>27</v>
      </c>
      <c r="K27">
        <v>13</v>
      </c>
      <c r="L27" t="s">
        <v>287</v>
      </c>
      <c r="M27">
        <v>11.7</v>
      </c>
      <c r="N27" t="s">
        <v>237</v>
      </c>
      <c r="O27">
        <v>6.8</v>
      </c>
      <c r="P27" t="s">
        <v>86</v>
      </c>
      <c r="Q27">
        <v>6.4</v>
      </c>
      <c r="R27" t="s">
        <v>272</v>
      </c>
      <c r="S27">
        <v>5.9</v>
      </c>
      <c r="T27" t="s">
        <v>282</v>
      </c>
      <c r="U27">
        <v>8.3000000000000007</v>
      </c>
      <c r="V27" t="s">
        <v>135</v>
      </c>
      <c r="W27">
        <v>7.4</v>
      </c>
      <c r="Y27">
        <f t="shared" si="0"/>
        <v>83.7</v>
      </c>
    </row>
    <row r="28" spans="1:25" x14ac:dyDescent="0.3">
      <c r="A28">
        <v>27</v>
      </c>
      <c r="Y28">
        <f t="shared" si="0"/>
        <v>0</v>
      </c>
    </row>
    <row r="29" spans="1:25" x14ac:dyDescent="0.3">
      <c r="A29">
        <v>28</v>
      </c>
      <c r="B29" t="s">
        <v>239</v>
      </c>
      <c r="C29">
        <v>5.3</v>
      </c>
      <c r="D29" t="s">
        <v>271</v>
      </c>
      <c r="E29">
        <v>6.1</v>
      </c>
      <c r="F29" t="s">
        <v>288</v>
      </c>
      <c r="G29">
        <v>4.4000000000000004</v>
      </c>
      <c r="H29" t="s">
        <v>227</v>
      </c>
      <c r="I29">
        <v>4.3</v>
      </c>
      <c r="J29" t="s">
        <v>27</v>
      </c>
      <c r="K29">
        <v>13.2</v>
      </c>
      <c r="L29" t="s">
        <v>45</v>
      </c>
      <c r="M29">
        <v>7.5</v>
      </c>
      <c r="N29" t="s">
        <v>281</v>
      </c>
      <c r="O29">
        <v>7.4</v>
      </c>
      <c r="P29" t="s">
        <v>289</v>
      </c>
      <c r="Q29">
        <v>5.7</v>
      </c>
      <c r="R29" t="s">
        <v>31</v>
      </c>
      <c r="S29">
        <v>12.3</v>
      </c>
      <c r="T29" t="s">
        <v>135</v>
      </c>
      <c r="U29">
        <v>7.5</v>
      </c>
      <c r="V29" t="s">
        <v>290</v>
      </c>
      <c r="W29">
        <v>7</v>
      </c>
      <c r="Y29">
        <f t="shared" si="0"/>
        <v>80.7</v>
      </c>
    </row>
    <row r="30" spans="1:25" x14ac:dyDescent="0.3">
      <c r="A30">
        <v>29</v>
      </c>
      <c r="B30" t="s">
        <v>83</v>
      </c>
      <c r="C30">
        <v>5.0999999999999996</v>
      </c>
      <c r="D30" t="s">
        <v>24</v>
      </c>
      <c r="E30">
        <v>8.5</v>
      </c>
      <c r="F30" t="s">
        <v>261</v>
      </c>
      <c r="G30">
        <v>5.8</v>
      </c>
      <c r="H30" t="s">
        <v>291</v>
      </c>
      <c r="I30">
        <v>4.7</v>
      </c>
      <c r="J30" t="s">
        <v>227</v>
      </c>
      <c r="K30">
        <v>4.3</v>
      </c>
      <c r="L30" t="s">
        <v>27</v>
      </c>
      <c r="M30">
        <v>13.2</v>
      </c>
      <c r="N30" t="s">
        <v>67</v>
      </c>
      <c r="O30">
        <v>10.8</v>
      </c>
      <c r="P30" t="s">
        <v>86</v>
      </c>
      <c r="Q30">
        <v>6.5</v>
      </c>
      <c r="R30" t="s">
        <v>154</v>
      </c>
      <c r="S30">
        <v>4.5</v>
      </c>
      <c r="T30" t="s">
        <v>31</v>
      </c>
      <c r="U30">
        <v>12.3</v>
      </c>
      <c r="V30" t="s">
        <v>282</v>
      </c>
      <c r="W30">
        <v>8.3000000000000007</v>
      </c>
      <c r="Y30">
        <f t="shared" si="0"/>
        <v>83.999999999999986</v>
      </c>
    </row>
    <row r="31" spans="1:25" x14ac:dyDescent="0.3">
      <c r="A31">
        <v>30</v>
      </c>
      <c r="B31" t="s">
        <v>239</v>
      </c>
      <c r="C31">
        <v>5.3</v>
      </c>
      <c r="D31" t="s">
        <v>196</v>
      </c>
      <c r="E31">
        <v>5.2</v>
      </c>
      <c r="F31" t="s">
        <v>286</v>
      </c>
      <c r="G31">
        <v>5.0999999999999996</v>
      </c>
      <c r="H31" t="s">
        <v>291</v>
      </c>
      <c r="I31">
        <v>4.8</v>
      </c>
      <c r="J31" t="s">
        <v>67</v>
      </c>
      <c r="K31">
        <v>10.9</v>
      </c>
      <c r="L31" t="s">
        <v>281</v>
      </c>
      <c r="M31">
        <v>7.5</v>
      </c>
      <c r="N31" t="s">
        <v>44</v>
      </c>
      <c r="O31">
        <v>6.7</v>
      </c>
      <c r="P31" t="s">
        <v>86</v>
      </c>
      <c r="Q31">
        <v>6.7</v>
      </c>
      <c r="R31" t="s">
        <v>31</v>
      </c>
      <c r="S31">
        <v>12.4</v>
      </c>
      <c r="T31" t="s">
        <v>282</v>
      </c>
      <c r="U31">
        <v>8.4</v>
      </c>
      <c r="V31" t="s">
        <v>80</v>
      </c>
      <c r="W31">
        <v>6.6</v>
      </c>
      <c r="Y31">
        <f t="shared" si="0"/>
        <v>79.600000000000009</v>
      </c>
    </row>
    <row r="32" spans="1:25" x14ac:dyDescent="0.3">
      <c r="A32">
        <v>31</v>
      </c>
      <c r="B32" t="s">
        <v>77</v>
      </c>
      <c r="C32">
        <v>5.4</v>
      </c>
      <c r="D32" t="s">
        <v>243</v>
      </c>
      <c r="E32">
        <v>7.3</v>
      </c>
      <c r="F32" t="s">
        <v>34</v>
      </c>
      <c r="G32">
        <v>6.9</v>
      </c>
      <c r="H32" t="s">
        <v>291</v>
      </c>
      <c r="I32">
        <v>4.8</v>
      </c>
      <c r="J32" t="s">
        <v>27</v>
      </c>
      <c r="K32">
        <v>13.3</v>
      </c>
      <c r="L32" t="s">
        <v>37</v>
      </c>
      <c r="M32">
        <v>7.8</v>
      </c>
      <c r="N32" t="s">
        <v>86</v>
      </c>
      <c r="O32">
        <v>6.7</v>
      </c>
      <c r="P32" t="s">
        <v>76</v>
      </c>
      <c r="Q32">
        <v>6.6</v>
      </c>
      <c r="R32" t="s">
        <v>278</v>
      </c>
      <c r="S32">
        <v>5.5</v>
      </c>
      <c r="T32" t="s">
        <v>31</v>
      </c>
      <c r="U32">
        <v>12.5</v>
      </c>
      <c r="V32" t="s">
        <v>292</v>
      </c>
      <c r="W32">
        <v>5.5</v>
      </c>
      <c r="Y32">
        <f t="shared" si="0"/>
        <v>82.300000000000011</v>
      </c>
    </row>
    <row r="33" spans="1:25" x14ac:dyDescent="0.3">
      <c r="A33">
        <v>32</v>
      </c>
      <c r="B33" t="s">
        <v>83</v>
      </c>
      <c r="C33">
        <v>5.0999999999999996</v>
      </c>
      <c r="D33" t="s">
        <v>271</v>
      </c>
      <c r="E33">
        <v>6.1</v>
      </c>
      <c r="F33" t="s">
        <v>291</v>
      </c>
      <c r="G33">
        <v>4.9000000000000004</v>
      </c>
      <c r="H33" t="s">
        <v>227</v>
      </c>
      <c r="I33">
        <v>4.3</v>
      </c>
      <c r="J33" t="s">
        <v>27</v>
      </c>
      <c r="K33">
        <v>13.3</v>
      </c>
      <c r="L33" t="s">
        <v>67</v>
      </c>
      <c r="M33">
        <v>10.9</v>
      </c>
      <c r="N33" t="s">
        <v>44</v>
      </c>
      <c r="O33">
        <v>6.8</v>
      </c>
      <c r="P33" t="s">
        <v>86</v>
      </c>
      <c r="Q33">
        <v>6.8</v>
      </c>
      <c r="R33" t="s">
        <v>53</v>
      </c>
      <c r="S33">
        <v>6.8</v>
      </c>
      <c r="T33" t="s">
        <v>31</v>
      </c>
      <c r="U33">
        <v>12.5</v>
      </c>
      <c r="V33" t="s">
        <v>156</v>
      </c>
      <c r="W33">
        <v>5.2</v>
      </c>
      <c r="Y33">
        <f t="shared" si="0"/>
        <v>82.7</v>
      </c>
    </row>
    <row r="34" spans="1:25" x14ac:dyDescent="0.3">
      <c r="A34">
        <v>33</v>
      </c>
      <c r="B34" t="s">
        <v>293</v>
      </c>
      <c r="C34">
        <v>4.9000000000000004</v>
      </c>
      <c r="D34" t="s">
        <v>34</v>
      </c>
      <c r="E34">
        <v>7</v>
      </c>
      <c r="F34" t="s">
        <v>90</v>
      </c>
      <c r="G34">
        <v>5.4</v>
      </c>
      <c r="H34" t="s">
        <v>227</v>
      </c>
      <c r="I34">
        <v>4.4000000000000004</v>
      </c>
      <c r="J34" t="s">
        <v>66</v>
      </c>
      <c r="K34">
        <v>11.6</v>
      </c>
      <c r="L34" t="s">
        <v>67</v>
      </c>
      <c r="M34">
        <v>11.1</v>
      </c>
      <c r="N34" t="s">
        <v>44</v>
      </c>
      <c r="O34">
        <v>7</v>
      </c>
      <c r="P34" t="s">
        <v>86</v>
      </c>
      <c r="Q34">
        <v>6.8</v>
      </c>
      <c r="R34" t="s">
        <v>232</v>
      </c>
      <c r="S34">
        <v>6.4</v>
      </c>
      <c r="T34" t="s">
        <v>31</v>
      </c>
      <c r="U34">
        <v>12.6</v>
      </c>
      <c r="V34" t="s">
        <v>109</v>
      </c>
      <c r="W34">
        <v>6.7</v>
      </c>
      <c r="Y34">
        <f t="shared" si="0"/>
        <v>83.9</v>
      </c>
    </row>
    <row r="35" spans="1:25" x14ac:dyDescent="0.3">
      <c r="A35">
        <v>34</v>
      </c>
      <c r="B35" t="s">
        <v>42</v>
      </c>
      <c r="C35">
        <v>4.5999999999999996</v>
      </c>
      <c r="D35" t="s">
        <v>25</v>
      </c>
      <c r="E35">
        <v>6.3</v>
      </c>
      <c r="F35" t="s">
        <v>261</v>
      </c>
      <c r="G35">
        <v>5.9</v>
      </c>
      <c r="H35" t="s">
        <v>180</v>
      </c>
      <c r="I35">
        <v>4.9000000000000004</v>
      </c>
      <c r="J35" t="s">
        <v>27</v>
      </c>
      <c r="K35">
        <v>13.2</v>
      </c>
      <c r="L35" t="s">
        <v>75</v>
      </c>
      <c r="M35">
        <v>8.6</v>
      </c>
      <c r="N35" t="s">
        <v>221</v>
      </c>
      <c r="O35">
        <v>7.9</v>
      </c>
      <c r="P35" t="s">
        <v>45</v>
      </c>
      <c r="Q35">
        <v>7.7</v>
      </c>
      <c r="R35" t="s">
        <v>43</v>
      </c>
      <c r="S35">
        <v>6.4</v>
      </c>
      <c r="T35" t="s">
        <v>61</v>
      </c>
      <c r="U35">
        <v>12.2</v>
      </c>
      <c r="V35" t="s">
        <v>294</v>
      </c>
      <c r="W35">
        <v>6</v>
      </c>
      <c r="Y35">
        <f t="shared" si="0"/>
        <v>83.7</v>
      </c>
    </row>
    <row r="36" spans="1:25" x14ac:dyDescent="0.3">
      <c r="A36">
        <v>35</v>
      </c>
      <c r="B36" t="s">
        <v>295</v>
      </c>
      <c r="C36">
        <v>4.4000000000000004</v>
      </c>
      <c r="D36" t="s">
        <v>243</v>
      </c>
      <c r="E36">
        <v>7.3</v>
      </c>
      <c r="F36" t="s">
        <v>34</v>
      </c>
      <c r="G36">
        <v>7.1</v>
      </c>
      <c r="H36" t="s">
        <v>296</v>
      </c>
      <c r="I36">
        <v>4.5</v>
      </c>
      <c r="J36" t="s">
        <v>176</v>
      </c>
      <c r="K36">
        <v>4.3</v>
      </c>
      <c r="L36" t="s">
        <v>27</v>
      </c>
      <c r="M36">
        <v>13.3</v>
      </c>
      <c r="N36" t="s">
        <v>82</v>
      </c>
      <c r="O36">
        <v>11.9</v>
      </c>
      <c r="P36" t="s">
        <v>67</v>
      </c>
      <c r="Q36">
        <v>11</v>
      </c>
      <c r="R36" t="s">
        <v>45</v>
      </c>
      <c r="S36">
        <v>7.7</v>
      </c>
      <c r="T36" t="s">
        <v>281</v>
      </c>
      <c r="U36">
        <v>7</v>
      </c>
      <c r="V36" t="s">
        <v>168</v>
      </c>
      <c r="W36">
        <v>5.5</v>
      </c>
      <c r="Y36">
        <f t="shared" si="0"/>
        <v>84</v>
      </c>
    </row>
    <row r="37" spans="1:25" x14ac:dyDescent="0.3">
      <c r="A37">
        <v>36</v>
      </c>
      <c r="B37" t="s">
        <v>293</v>
      </c>
      <c r="C37">
        <v>4.9000000000000004</v>
      </c>
      <c r="D37" t="s">
        <v>24</v>
      </c>
      <c r="E37">
        <v>8.4</v>
      </c>
      <c r="F37" t="s">
        <v>34</v>
      </c>
      <c r="G37">
        <v>7.2</v>
      </c>
      <c r="H37" t="s">
        <v>297</v>
      </c>
      <c r="I37">
        <v>5.7</v>
      </c>
      <c r="J37" t="s">
        <v>27</v>
      </c>
      <c r="K37">
        <v>13.3</v>
      </c>
      <c r="L37" t="s">
        <v>82</v>
      </c>
      <c r="M37">
        <v>11.9</v>
      </c>
      <c r="N37" t="s">
        <v>86</v>
      </c>
      <c r="O37">
        <v>6.7</v>
      </c>
      <c r="P37" t="s">
        <v>76</v>
      </c>
      <c r="Q37">
        <v>6.4</v>
      </c>
      <c r="R37" t="s">
        <v>43</v>
      </c>
      <c r="S37">
        <v>6.3</v>
      </c>
      <c r="T37" t="s">
        <v>206</v>
      </c>
      <c r="U37">
        <v>7.5</v>
      </c>
      <c r="V37" t="s">
        <v>168</v>
      </c>
      <c r="W37">
        <v>5.5</v>
      </c>
      <c r="Y37">
        <f t="shared" si="0"/>
        <v>83.8</v>
      </c>
    </row>
    <row r="38" spans="1:25" x14ac:dyDescent="0.3">
      <c r="A38">
        <v>37</v>
      </c>
      <c r="B38" t="s">
        <v>137</v>
      </c>
      <c r="C38">
        <v>4.8</v>
      </c>
      <c r="D38" t="s">
        <v>243</v>
      </c>
      <c r="E38">
        <v>7.3</v>
      </c>
      <c r="F38" t="s">
        <v>196</v>
      </c>
      <c r="G38">
        <v>5.3</v>
      </c>
      <c r="H38" t="s">
        <v>197</v>
      </c>
      <c r="I38">
        <v>4.5999999999999996</v>
      </c>
      <c r="J38" t="s">
        <v>82</v>
      </c>
      <c r="K38">
        <v>12</v>
      </c>
      <c r="L38" t="s">
        <v>67</v>
      </c>
      <c r="M38">
        <v>11</v>
      </c>
      <c r="N38" t="s">
        <v>118</v>
      </c>
      <c r="O38">
        <v>8</v>
      </c>
      <c r="P38" t="s">
        <v>237</v>
      </c>
      <c r="Q38">
        <v>6.9</v>
      </c>
      <c r="R38" t="s">
        <v>145</v>
      </c>
      <c r="S38">
        <v>10.3</v>
      </c>
      <c r="T38" t="s">
        <v>206</v>
      </c>
      <c r="U38">
        <v>7.6</v>
      </c>
      <c r="V38" t="s">
        <v>168</v>
      </c>
      <c r="W38">
        <v>5.6</v>
      </c>
      <c r="Y38">
        <f t="shared" si="0"/>
        <v>83.399999999999991</v>
      </c>
    </row>
    <row r="39" spans="1:25" x14ac:dyDescent="0.3">
      <c r="A39">
        <v>38</v>
      </c>
      <c r="Y39">
        <f t="shared" si="0"/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3D19C-AF7E-47F2-B7FC-038031819EDE}">
  <dimension ref="A1:Y39"/>
  <sheetViews>
    <sheetView workbookViewId="0">
      <selection activeCell="W35" sqref="W35"/>
    </sheetView>
  </sheetViews>
  <sheetFormatPr defaultRowHeight="14.4" x14ac:dyDescent="0.3"/>
  <cols>
    <col min="1" max="1" width="10.109375" bestFit="1" customWidth="1"/>
    <col min="2" max="2" width="17.6640625" customWidth="1"/>
    <col min="4" max="4" width="17.6640625" customWidth="1"/>
    <col min="6" max="6" width="17.6640625" customWidth="1"/>
    <col min="8" max="8" width="17.6640625" customWidth="1"/>
    <col min="10" max="10" width="17.6640625" customWidth="1"/>
    <col min="12" max="12" width="17.6640625" customWidth="1"/>
    <col min="14" max="14" width="17.6640625" customWidth="1"/>
    <col min="16" max="16" width="17.6640625" customWidth="1"/>
    <col min="18" max="18" width="17.6640625" customWidth="1"/>
    <col min="20" max="20" width="17.6640625" customWidth="1"/>
    <col min="22" max="22" width="17.6640625" customWidth="1"/>
  </cols>
  <sheetData>
    <row r="1" spans="1:25" x14ac:dyDescent="0.3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3">
      <c r="A2">
        <v>1</v>
      </c>
      <c r="B2" t="s">
        <v>23</v>
      </c>
      <c r="C2">
        <v>5</v>
      </c>
      <c r="D2" t="s">
        <v>24</v>
      </c>
      <c r="E2">
        <v>7.5</v>
      </c>
      <c r="F2" t="s">
        <v>34</v>
      </c>
      <c r="G2">
        <v>7</v>
      </c>
      <c r="H2" t="s">
        <v>25</v>
      </c>
      <c r="I2">
        <v>6</v>
      </c>
      <c r="J2" t="s">
        <v>26</v>
      </c>
      <c r="K2">
        <v>5</v>
      </c>
      <c r="L2" t="s">
        <v>27</v>
      </c>
      <c r="M2">
        <v>13</v>
      </c>
      <c r="N2" t="s">
        <v>28</v>
      </c>
      <c r="O2">
        <v>8</v>
      </c>
      <c r="P2" t="s">
        <v>29</v>
      </c>
      <c r="Q2">
        <v>6.5</v>
      </c>
      <c r="R2" t="s">
        <v>30</v>
      </c>
      <c r="S2">
        <v>5</v>
      </c>
      <c r="T2" t="s">
        <v>31</v>
      </c>
      <c r="U2">
        <v>11.5</v>
      </c>
      <c r="V2" t="s">
        <v>32</v>
      </c>
      <c r="W2">
        <v>8</v>
      </c>
      <c r="Y2">
        <f>SUM(C2:W2)</f>
        <v>82.5</v>
      </c>
    </row>
    <row r="3" spans="1:25" x14ac:dyDescent="0.3">
      <c r="A3">
        <v>2</v>
      </c>
      <c r="B3" t="s">
        <v>33</v>
      </c>
      <c r="C3">
        <v>4.5</v>
      </c>
      <c r="D3" t="s">
        <v>24</v>
      </c>
      <c r="E3">
        <v>7.5</v>
      </c>
      <c r="F3" t="s">
        <v>34</v>
      </c>
      <c r="G3">
        <v>7</v>
      </c>
      <c r="H3" t="s">
        <v>35</v>
      </c>
      <c r="I3">
        <v>5</v>
      </c>
      <c r="J3" t="s">
        <v>36</v>
      </c>
      <c r="K3">
        <v>5</v>
      </c>
      <c r="L3" t="s">
        <v>27</v>
      </c>
      <c r="M3">
        <v>13</v>
      </c>
      <c r="N3" t="s">
        <v>37</v>
      </c>
      <c r="O3">
        <v>8</v>
      </c>
      <c r="P3" t="s">
        <v>38</v>
      </c>
      <c r="Q3">
        <v>6.1</v>
      </c>
      <c r="R3" t="s">
        <v>39</v>
      </c>
      <c r="S3">
        <v>6</v>
      </c>
      <c r="T3" t="s">
        <v>40</v>
      </c>
      <c r="U3">
        <v>11.6</v>
      </c>
      <c r="V3" t="s">
        <v>41</v>
      </c>
      <c r="W3">
        <v>9</v>
      </c>
      <c r="Y3">
        <f t="shared" ref="Y3:Y39" si="0">SUM(C3:W3)</f>
        <v>82.7</v>
      </c>
    </row>
    <row r="4" spans="1:25" x14ac:dyDescent="0.3">
      <c r="A4">
        <v>3</v>
      </c>
      <c r="B4" t="s">
        <v>42</v>
      </c>
      <c r="C4">
        <v>4.5</v>
      </c>
      <c r="D4" t="s">
        <v>24</v>
      </c>
      <c r="E4">
        <v>7.5</v>
      </c>
      <c r="F4" t="s">
        <v>34</v>
      </c>
      <c r="G4">
        <v>7.1</v>
      </c>
      <c r="H4" t="s">
        <v>25</v>
      </c>
      <c r="I4">
        <v>6.1</v>
      </c>
      <c r="J4" t="s">
        <v>35</v>
      </c>
      <c r="K4">
        <v>5</v>
      </c>
      <c r="L4" t="s">
        <v>27</v>
      </c>
      <c r="M4">
        <v>13</v>
      </c>
      <c r="N4" t="s">
        <v>43</v>
      </c>
      <c r="O4">
        <v>8.1</v>
      </c>
      <c r="P4" t="s">
        <v>44</v>
      </c>
      <c r="Q4">
        <v>8</v>
      </c>
      <c r="R4" t="s">
        <v>45</v>
      </c>
      <c r="S4">
        <v>8</v>
      </c>
      <c r="T4" t="s">
        <v>46</v>
      </c>
      <c r="U4">
        <v>7.5</v>
      </c>
      <c r="V4" t="s">
        <v>32</v>
      </c>
      <c r="W4">
        <v>8.1</v>
      </c>
      <c r="Y4">
        <f t="shared" si="0"/>
        <v>82.9</v>
      </c>
    </row>
    <row r="5" spans="1:25" x14ac:dyDescent="0.3">
      <c r="A5">
        <v>4</v>
      </c>
      <c r="B5" t="s">
        <v>77</v>
      </c>
      <c r="C5">
        <v>5</v>
      </c>
      <c r="D5" t="s">
        <v>24</v>
      </c>
      <c r="E5">
        <v>7.5</v>
      </c>
      <c r="F5" t="s">
        <v>34</v>
      </c>
      <c r="G5">
        <v>7.1</v>
      </c>
      <c r="H5" t="s">
        <v>25</v>
      </c>
      <c r="I5">
        <v>6.1</v>
      </c>
      <c r="J5" t="s">
        <v>78</v>
      </c>
      <c r="K5">
        <v>4.5999999999999996</v>
      </c>
      <c r="L5" t="s">
        <v>27</v>
      </c>
      <c r="M5">
        <v>13</v>
      </c>
      <c r="N5" t="s">
        <v>38</v>
      </c>
      <c r="O5">
        <v>6.4</v>
      </c>
      <c r="P5" t="s">
        <v>79</v>
      </c>
      <c r="Q5">
        <v>6.3</v>
      </c>
      <c r="R5" t="s">
        <v>40</v>
      </c>
      <c r="S5">
        <v>11.4</v>
      </c>
      <c r="T5" t="s">
        <v>32</v>
      </c>
      <c r="U5">
        <v>8.1999999999999993</v>
      </c>
      <c r="V5" t="s">
        <v>80</v>
      </c>
      <c r="W5">
        <v>7.2</v>
      </c>
      <c r="Y5">
        <f t="shared" si="0"/>
        <v>82.800000000000011</v>
      </c>
    </row>
    <row r="6" spans="1:25" x14ac:dyDescent="0.3">
      <c r="A6">
        <v>5</v>
      </c>
      <c r="B6" t="s">
        <v>33</v>
      </c>
      <c r="C6">
        <v>4.5999999999999996</v>
      </c>
      <c r="D6" t="s">
        <v>24</v>
      </c>
      <c r="E6">
        <v>7.5</v>
      </c>
      <c r="F6" t="s">
        <v>81</v>
      </c>
      <c r="G6">
        <v>6</v>
      </c>
      <c r="H6" t="s">
        <v>25</v>
      </c>
      <c r="I6">
        <v>6.1</v>
      </c>
      <c r="J6" t="s">
        <v>35</v>
      </c>
      <c r="K6">
        <v>5</v>
      </c>
      <c r="L6" t="s">
        <v>82</v>
      </c>
      <c r="M6">
        <v>12.2</v>
      </c>
      <c r="N6" t="s">
        <v>28</v>
      </c>
      <c r="O6">
        <v>8.1</v>
      </c>
      <c r="P6" t="s">
        <v>46</v>
      </c>
      <c r="Q6">
        <v>7.6</v>
      </c>
      <c r="R6" t="s">
        <v>79</v>
      </c>
      <c r="S6">
        <v>6.5</v>
      </c>
      <c r="T6" t="s">
        <v>31</v>
      </c>
      <c r="U6">
        <v>11.4</v>
      </c>
      <c r="V6" t="s">
        <v>32</v>
      </c>
      <c r="W6">
        <v>8.1999999999999993</v>
      </c>
      <c r="Y6">
        <f t="shared" si="0"/>
        <v>83.200000000000017</v>
      </c>
    </row>
    <row r="7" spans="1:25" x14ac:dyDescent="0.3">
      <c r="A7">
        <v>6</v>
      </c>
      <c r="B7" t="s">
        <v>77</v>
      </c>
      <c r="C7">
        <v>5</v>
      </c>
      <c r="D7" t="s">
        <v>24</v>
      </c>
      <c r="E7">
        <v>7.5</v>
      </c>
      <c r="F7" t="s">
        <v>34</v>
      </c>
      <c r="G7">
        <v>7.1</v>
      </c>
      <c r="H7" t="s">
        <v>91</v>
      </c>
      <c r="I7">
        <v>4.5</v>
      </c>
      <c r="J7" t="s">
        <v>105</v>
      </c>
      <c r="K7">
        <v>4.0999999999999996</v>
      </c>
      <c r="L7" t="s">
        <v>52</v>
      </c>
      <c r="M7">
        <v>10</v>
      </c>
      <c r="N7" t="s">
        <v>37</v>
      </c>
      <c r="O7">
        <v>8</v>
      </c>
      <c r="P7" t="s">
        <v>43</v>
      </c>
      <c r="Q7">
        <v>8.1999999999999993</v>
      </c>
      <c r="R7" t="s">
        <v>40</v>
      </c>
      <c r="S7">
        <v>11.9</v>
      </c>
      <c r="T7" t="s">
        <v>41</v>
      </c>
      <c r="U7">
        <v>8.9</v>
      </c>
      <c r="V7" t="s">
        <v>32</v>
      </c>
      <c r="W7">
        <v>8.1999999999999993</v>
      </c>
      <c r="Y7">
        <f t="shared" si="0"/>
        <v>83.40000000000002</v>
      </c>
    </row>
    <row r="8" spans="1:25" x14ac:dyDescent="0.3">
      <c r="A8">
        <v>7</v>
      </c>
      <c r="B8" t="s">
        <v>77</v>
      </c>
      <c r="C8">
        <v>5.0999999999999996</v>
      </c>
      <c r="D8" t="s">
        <v>24</v>
      </c>
      <c r="E8">
        <v>7.5</v>
      </c>
      <c r="F8" t="s">
        <v>35</v>
      </c>
      <c r="G8">
        <v>5.0999999999999996</v>
      </c>
      <c r="H8" t="s">
        <v>25</v>
      </c>
      <c r="I8">
        <v>6</v>
      </c>
      <c r="J8" t="s">
        <v>27</v>
      </c>
      <c r="K8">
        <v>13</v>
      </c>
      <c r="L8" t="s">
        <v>38</v>
      </c>
      <c r="M8">
        <v>6.5</v>
      </c>
      <c r="N8" t="s">
        <v>29</v>
      </c>
      <c r="O8">
        <v>6.5</v>
      </c>
      <c r="P8" t="s">
        <v>161</v>
      </c>
      <c r="Q8">
        <v>6.5</v>
      </c>
      <c r="R8" t="s">
        <v>40</v>
      </c>
      <c r="S8">
        <v>12</v>
      </c>
      <c r="T8" t="s">
        <v>32</v>
      </c>
      <c r="U8">
        <v>8.1</v>
      </c>
      <c r="V8" t="s">
        <v>80</v>
      </c>
      <c r="W8">
        <v>7.2</v>
      </c>
      <c r="Y8">
        <f t="shared" si="0"/>
        <v>83.5</v>
      </c>
    </row>
    <row r="9" spans="1:25" x14ac:dyDescent="0.3">
      <c r="A9">
        <v>8</v>
      </c>
      <c r="B9" t="s">
        <v>230</v>
      </c>
      <c r="C9">
        <v>5.5</v>
      </c>
      <c r="D9" t="s">
        <v>26</v>
      </c>
      <c r="E9">
        <v>5.3</v>
      </c>
      <c r="F9" t="s">
        <v>34</v>
      </c>
      <c r="G9">
        <v>7.1</v>
      </c>
      <c r="H9" t="s">
        <v>231</v>
      </c>
      <c r="I9">
        <v>4.5</v>
      </c>
      <c r="J9" t="s">
        <v>82</v>
      </c>
      <c r="K9">
        <v>12.2</v>
      </c>
      <c r="L9" t="s">
        <v>38</v>
      </c>
      <c r="M9">
        <v>6.5</v>
      </c>
      <c r="N9" t="s">
        <v>232</v>
      </c>
      <c r="O9">
        <v>6.5</v>
      </c>
      <c r="P9" t="s">
        <v>233</v>
      </c>
      <c r="Q9">
        <v>5</v>
      </c>
      <c r="R9" t="s">
        <v>40</v>
      </c>
      <c r="S9">
        <v>12</v>
      </c>
      <c r="T9" t="s">
        <v>31</v>
      </c>
      <c r="U9">
        <v>11.4</v>
      </c>
      <c r="V9" t="s">
        <v>234</v>
      </c>
      <c r="W9">
        <v>6.9</v>
      </c>
      <c r="Y9">
        <f t="shared" si="0"/>
        <v>82.9</v>
      </c>
    </row>
    <row r="10" spans="1:25" x14ac:dyDescent="0.3">
      <c r="A10">
        <v>9</v>
      </c>
      <c r="B10" t="s">
        <v>63</v>
      </c>
      <c r="C10">
        <v>4.5</v>
      </c>
      <c r="D10" t="s">
        <v>24</v>
      </c>
      <c r="E10">
        <v>7.4</v>
      </c>
      <c r="F10" t="s">
        <v>34</v>
      </c>
      <c r="G10">
        <v>7.2</v>
      </c>
      <c r="H10" t="s">
        <v>25</v>
      </c>
      <c r="I10">
        <v>6</v>
      </c>
      <c r="J10" t="s">
        <v>235</v>
      </c>
      <c r="K10">
        <v>4.5</v>
      </c>
      <c r="L10" t="s">
        <v>27</v>
      </c>
      <c r="M10">
        <v>12.9</v>
      </c>
      <c r="N10" t="s">
        <v>44</v>
      </c>
      <c r="O10">
        <v>8</v>
      </c>
      <c r="P10" t="s">
        <v>236</v>
      </c>
      <c r="Q10">
        <v>7</v>
      </c>
      <c r="R10" t="s">
        <v>38</v>
      </c>
      <c r="S10">
        <v>6.6</v>
      </c>
      <c r="T10" t="s">
        <v>40</v>
      </c>
      <c r="U10">
        <v>12.1</v>
      </c>
      <c r="V10" t="s">
        <v>80</v>
      </c>
      <c r="W10">
        <v>7.3</v>
      </c>
      <c r="Y10">
        <f t="shared" si="0"/>
        <v>83.499999999999986</v>
      </c>
    </row>
    <row r="11" spans="1:25" x14ac:dyDescent="0.3">
      <c r="A11">
        <v>10</v>
      </c>
      <c r="B11" t="s">
        <v>42</v>
      </c>
      <c r="C11">
        <v>4.5</v>
      </c>
      <c r="D11" t="s">
        <v>34</v>
      </c>
      <c r="E11">
        <v>7.2</v>
      </c>
      <c r="F11" t="s">
        <v>25</v>
      </c>
      <c r="G11">
        <v>6</v>
      </c>
      <c r="H11" t="s">
        <v>26</v>
      </c>
      <c r="I11">
        <v>5.5</v>
      </c>
      <c r="J11" t="s">
        <v>52</v>
      </c>
      <c r="K11">
        <v>10</v>
      </c>
      <c r="L11" t="s">
        <v>37</v>
      </c>
      <c r="M11">
        <v>8.1</v>
      </c>
      <c r="N11" t="s">
        <v>53</v>
      </c>
      <c r="O11">
        <v>8.1</v>
      </c>
      <c r="P11" t="s">
        <v>44</v>
      </c>
      <c r="Q11">
        <v>8.1</v>
      </c>
      <c r="R11" t="s">
        <v>237</v>
      </c>
      <c r="S11">
        <v>7.3</v>
      </c>
      <c r="T11" t="s">
        <v>40</v>
      </c>
      <c r="U11">
        <v>12.2</v>
      </c>
      <c r="V11" t="s">
        <v>238</v>
      </c>
      <c r="W11">
        <v>7.2</v>
      </c>
      <c r="Y11">
        <f>SUM(C11:W11)</f>
        <v>84.200000000000017</v>
      </c>
    </row>
    <row r="12" spans="1:25" x14ac:dyDescent="0.3">
      <c r="A12">
        <v>11</v>
      </c>
      <c r="B12" t="s">
        <v>239</v>
      </c>
      <c r="C12">
        <v>5</v>
      </c>
      <c r="D12" t="s">
        <v>240</v>
      </c>
      <c r="E12">
        <v>5.2</v>
      </c>
      <c r="F12" t="s">
        <v>180</v>
      </c>
      <c r="G12">
        <v>5.0999999999999996</v>
      </c>
      <c r="H12" t="s">
        <v>35</v>
      </c>
      <c r="I12">
        <v>5.0999999999999996</v>
      </c>
      <c r="J12" t="s">
        <v>67</v>
      </c>
      <c r="K12">
        <v>11.7</v>
      </c>
      <c r="L12" t="s">
        <v>44</v>
      </c>
      <c r="M12">
        <v>8.3000000000000007</v>
      </c>
      <c r="N12" t="s">
        <v>37</v>
      </c>
      <c r="O12">
        <v>8.1999999999999993</v>
      </c>
      <c r="P12" t="s">
        <v>53</v>
      </c>
      <c r="Q12">
        <v>8.1999999999999993</v>
      </c>
      <c r="R12" t="s">
        <v>237</v>
      </c>
      <c r="S12">
        <v>7.4</v>
      </c>
      <c r="T12" t="s">
        <v>40</v>
      </c>
      <c r="U12">
        <v>12.2</v>
      </c>
      <c r="V12" t="s">
        <v>80</v>
      </c>
      <c r="W12">
        <v>7.3</v>
      </c>
      <c r="Y12">
        <f t="shared" si="0"/>
        <v>83.7</v>
      </c>
    </row>
    <row r="13" spans="1:25" x14ac:dyDescent="0.3">
      <c r="A13">
        <v>12</v>
      </c>
      <c r="B13" t="s">
        <v>42</v>
      </c>
      <c r="C13">
        <v>4.5</v>
      </c>
      <c r="D13" t="s">
        <v>26</v>
      </c>
      <c r="E13">
        <v>5.7</v>
      </c>
      <c r="F13" t="s">
        <v>150</v>
      </c>
      <c r="G13">
        <v>4.5999999999999996</v>
      </c>
      <c r="H13" t="s">
        <v>241</v>
      </c>
      <c r="I13">
        <v>4.4000000000000004</v>
      </c>
      <c r="J13" t="s">
        <v>27</v>
      </c>
      <c r="K13">
        <v>12.7</v>
      </c>
      <c r="L13" t="s">
        <v>45</v>
      </c>
      <c r="M13">
        <v>7.7</v>
      </c>
      <c r="N13" t="s">
        <v>237</v>
      </c>
      <c r="O13">
        <v>7.5</v>
      </c>
      <c r="P13" t="s">
        <v>177</v>
      </c>
      <c r="Q13">
        <v>6.9</v>
      </c>
      <c r="R13" t="s">
        <v>161</v>
      </c>
      <c r="S13">
        <v>6.9</v>
      </c>
      <c r="T13" t="s">
        <v>31</v>
      </c>
      <c r="U13">
        <v>11.4</v>
      </c>
      <c r="V13" t="s">
        <v>234</v>
      </c>
      <c r="W13">
        <v>6.7</v>
      </c>
      <c r="Y13">
        <f t="shared" si="0"/>
        <v>79</v>
      </c>
    </row>
    <row r="14" spans="1:25" x14ac:dyDescent="0.3">
      <c r="A14">
        <v>13</v>
      </c>
      <c r="B14" t="s">
        <v>242</v>
      </c>
      <c r="C14">
        <v>5</v>
      </c>
      <c r="D14" t="s">
        <v>34</v>
      </c>
      <c r="E14">
        <v>7.3</v>
      </c>
      <c r="F14" t="s">
        <v>243</v>
      </c>
      <c r="G14">
        <v>6.7</v>
      </c>
      <c r="H14" t="s">
        <v>35</v>
      </c>
      <c r="I14">
        <v>5.0999999999999996</v>
      </c>
      <c r="J14" t="s">
        <v>37</v>
      </c>
      <c r="K14">
        <v>8.4</v>
      </c>
      <c r="L14" t="s">
        <v>44</v>
      </c>
      <c r="M14">
        <v>8.1999999999999993</v>
      </c>
      <c r="N14" t="s">
        <v>86</v>
      </c>
      <c r="O14">
        <v>7.9</v>
      </c>
      <c r="P14" t="s">
        <v>237</v>
      </c>
      <c r="Q14">
        <v>7.5</v>
      </c>
      <c r="R14" t="s">
        <v>40</v>
      </c>
      <c r="S14">
        <v>12.1</v>
      </c>
      <c r="T14" t="s">
        <v>41</v>
      </c>
      <c r="U14">
        <v>8.8000000000000007</v>
      </c>
      <c r="V14" t="s">
        <v>244</v>
      </c>
      <c r="W14">
        <v>6.8</v>
      </c>
      <c r="Y14">
        <f t="shared" si="0"/>
        <v>83.8</v>
      </c>
    </row>
    <row r="15" spans="1:25" x14ac:dyDescent="0.3">
      <c r="A15">
        <v>14</v>
      </c>
      <c r="B15" t="s">
        <v>56</v>
      </c>
      <c r="C15">
        <v>4.5999999999999996</v>
      </c>
      <c r="D15" t="s">
        <v>35</v>
      </c>
      <c r="E15">
        <v>5.0999999999999996</v>
      </c>
      <c r="F15" t="s">
        <v>26</v>
      </c>
      <c r="G15">
        <v>5.8</v>
      </c>
      <c r="H15" t="s">
        <v>136</v>
      </c>
      <c r="I15">
        <v>4.7</v>
      </c>
      <c r="J15" t="s">
        <v>27</v>
      </c>
      <c r="K15">
        <v>12.8</v>
      </c>
      <c r="L15" t="s">
        <v>86</v>
      </c>
      <c r="M15">
        <v>8</v>
      </c>
      <c r="N15" t="s">
        <v>237</v>
      </c>
      <c r="O15">
        <v>7.6</v>
      </c>
      <c r="P15" t="s">
        <v>29</v>
      </c>
      <c r="Q15">
        <v>6.6</v>
      </c>
      <c r="R15" t="s">
        <v>40</v>
      </c>
      <c r="S15">
        <v>12.2</v>
      </c>
      <c r="T15" t="s">
        <v>80</v>
      </c>
      <c r="U15">
        <v>7.5</v>
      </c>
      <c r="V15" t="s">
        <v>234</v>
      </c>
      <c r="W15">
        <v>6.8</v>
      </c>
      <c r="Y15">
        <f t="shared" si="0"/>
        <v>81.7</v>
      </c>
    </row>
    <row r="16" spans="1:25" x14ac:dyDescent="0.3">
      <c r="A16">
        <v>15</v>
      </c>
      <c r="B16" t="s">
        <v>33</v>
      </c>
      <c r="C16">
        <v>4.5999999999999996</v>
      </c>
      <c r="D16" t="s">
        <v>34</v>
      </c>
      <c r="E16">
        <v>7.4</v>
      </c>
      <c r="F16" t="s">
        <v>26</v>
      </c>
      <c r="G16">
        <v>5.9</v>
      </c>
      <c r="H16" t="s">
        <v>136</v>
      </c>
      <c r="I16">
        <v>4.8</v>
      </c>
      <c r="J16" t="s">
        <v>37</v>
      </c>
      <c r="K16">
        <v>8.5</v>
      </c>
      <c r="L16" t="s">
        <v>161</v>
      </c>
      <c r="M16">
        <v>6.9</v>
      </c>
      <c r="N16" t="s">
        <v>29</v>
      </c>
      <c r="O16">
        <v>6.7</v>
      </c>
      <c r="P16" t="s">
        <v>79</v>
      </c>
      <c r="Q16">
        <v>6.3</v>
      </c>
      <c r="R16" t="s">
        <v>40</v>
      </c>
      <c r="S16">
        <v>12.1</v>
      </c>
      <c r="T16" t="s">
        <v>31</v>
      </c>
      <c r="U16">
        <v>11.6</v>
      </c>
      <c r="V16" t="s">
        <v>238</v>
      </c>
      <c r="W16">
        <v>7.5</v>
      </c>
      <c r="Y16">
        <f t="shared" si="0"/>
        <v>82.3</v>
      </c>
    </row>
    <row r="17" spans="1:25" x14ac:dyDescent="0.3">
      <c r="A17">
        <v>16</v>
      </c>
      <c r="B17" t="s">
        <v>42</v>
      </c>
      <c r="C17">
        <v>4.5</v>
      </c>
      <c r="D17" t="s">
        <v>34</v>
      </c>
      <c r="E17">
        <v>7.4</v>
      </c>
      <c r="F17" t="s">
        <v>35</v>
      </c>
      <c r="G17">
        <v>5.0999999999999996</v>
      </c>
      <c r="H17" t="s">
        <v>91</v>
      </c>
      <c r="I17">
        <v>4.5</v>
      </c>
      <c r="J17" t="s">
        <v>27</v>
      </c>
      <c r="K17">
        <v>12.7</v>
      </c>
      <c r="L17" t="s">
        <v>161</v>
      </c>
      <c r="M17">
        <v>7.1</v>
      </c>
      <c r="N17" t="s">
        <v>38</v>
      </c>
      <c r="O17">
        <v>6.8</v>
      </c>
      <c r="P17" t="s">
        <v>29</v>
      </c>
      <c r="Q17">
        <v>6.7</v>
      </c>
      <c r="R17" t="s">
        <v>233</v>
      </c>
      <c r="S17">
        <v>5.8</v>
      </c>
      <c r="T17" t="s">
        <v>40</v>
      </c>
      <c r="U17">
        <v>12.2</v>
      </c>
      <c r="V17" t="s">
        <v>31</v>
      </c>
      <c r="W17">
        <v>11.6</v>
      </c>
      <c r="Y17">
        <f t="shared" si="0"/>
        <v>84.399999999999991</v>
      </c>
    </row>
    <row r="18" spans="1:25" x14ac:dyDescent="0.3">
      <c r="A18">
        <v>17</v>
      </c>
      <c r="B18" t="s">
        <v>83</v>
      </c>
      <c r="C18">
        <v>4.9000000000000004</v>
      </c>
      <c r="D18" t="s">
        <v>34</v>
      </c>
      <c r="E18">
        <v>7.4</v>
      </c>
      <c r="F18" t="s">
        <v>25</v>
      </c>
      <c r="G18">
        <v>5.8</v>
      </c>
      <c r="H18" t="s">
        <v>72</v>
      </c>
      <c r="I18">
        <v>4.8</v>
      </c>
      <c r="J18" t="s">
        <v>237</v>
      </c>
      <c r="K18">
        <v>7.5</v>
      </c>
      <c r="L18" t="s">
        <v>161</v>
      </c>
      <c r="M18">
        <v>7.1</v>
      </c>
      <c r="N18" t="s">
        <v>38</v>
      </c>
      <c r="O18">
        <v>6.8</v>
      </c>
      <c r="P18" t="s">
        <v>29</v>
      </c>
      <c r="Q18">
        <v>6.7</v>
      </c>
      <c r="R18" t="s">
        <v>40</v>
      </c>
      <c r="S18">
        <v>12.2</v>
      </c>
      <c r="T18" t="s">
        <v>31</v>
      </c>
      <c r="U18">
        <v>11.6</v>
      </c>
      <c r="V18" t="s">
        <v>41</v>
      </c>
      <c r="W18">
        <v>9</v>
      </c>
      <c r="Y18">
        <f t="shared" si="0"/>
        <v>83.8</v>
      </c>
    </row>
    <row r="19" spans="1:25" x14ac:dyDescent="0.3">
      <c r="A19">
        <v>18</v>
      </c>
      <c r="B19" t="s">
        <v>100</v>
      </c>
      <c r="C19">
        <v>4.5</v>
      </c>
      <c r="D19" t="s">
        <v>26</v>
      </c>
      <c r="E19">
        <v>5.9</v>
      </c>
      <c r="F19" t="s">
        <v>49</v>
      </c>
      <c r="G19">
        <v>4.8</v>
      </c>
      <c r="H19" t="s">
        <v>245</v>
      </c>
      <c r="I19">
        <v>4.7</v>
      </c>
      <c r="J19" t="s">
        <v>27</v>
      </c>
      <c r="K19">
        <v>12.8</v>
      </c>
      <c r="L19" t="s">
        <v>37</v>
      </c>
      <c r="M19">
        <v>8.3000000000000007</v>
      </c>
      <c r="N19" t="s">
        <v>29</v>
      </c>
      <c r="O19">
        <v>6.8</v>
      </c>
      <c r="P19" t="s">
        <v>233</v>
      </c>
      <c r="Q19">
        <v>5.9</v>
      </c>
      <c r="R19" t="s">
        <v>40</v>
      </c>
      <c r="S19">
        <v>12.2</v>
      </c>
      <c r="T19" t="s">
        <v>31</v>
      </c>
      <c r="U19">
        <v>11.6</v>
      </c>
      <c r="V19" t="s">
        <v>234</v>
      </c>
      <c r="W19">
        <v>6.9</v>
      </c>
      <c r="Y19">
        <f>SUM(C19:W19)</f>
        <v>84.399999999999991</v>
      </c>
    </row>
    <row r="20" spans="1:25" x14ac:dyDescent="0.3">
      <c r="A20">
        <v>19</v>
      </c>
      <c r="B20" t="s">
        <v>100</v>
      </c>
      <c r="C20">
        <v>4.5</v>
      </c>
      <c r="D20" t="s">
        <v>24</v>
      </c>
      <c r="E20">
        <v>7.2</v>
      </c>
      <c r="F20" t="s">
        <v>180</v>
      </c>
      <c r="G20">
        <v>5.2</v>
      </c>
      <c r="H20" t="s">
        <v>72</v>
      </c>
      <c r="I20">
        <v>4.9000000000000004</v>
      </c>
      <c r="J20" t="s">
        <v>27</v>
      </c>
      <c r="K20">
        <v>12.9</v>
      </c>
      <c r="L20" t="s">
        <v>45</v>
      </c>
      <c r="M20">
        <v>7.6</v>
      </c>
      <c r="N20" t="s">
        <v>29</v>
      </c>
      <c r="O20">
        <v>6.9</v>
      </c>
      <c r="P20" t="s">
        <v>246</v>
      </c>
      <c r="Q20">
        <v>4.5999999999999996</v>
      </c>
      <c r="R20" t="s">
        <v>40</v>
      </c>
      <c r="S20">
        <v>12.2</v>
      </c>
      <c r="T20" t="s">
        <v>31</v>
      </c>
      <c r="U20">
        <v>11.6</v>
      </c>
      <c r="V20" t="s">
        <v>234</v>
      </c>
      <c r="W20">
        <v>7.1</v>
      </c>
      <c r="Y20">
        <f t="shared" si="0"/>
        <v>84.699999999999989</v>
      </c>
    </row>
    <row r="21" spans="1:25" x14ac:dyDescent="0.3">
      <c r="A21">
        <v>20</v>
      </c>
      <c r="B21" t="s">
        <v>212</v>
      </c>
      <c r="C21">
        <v>5.4</v>
      </c>
      <c r="D21" t="s">
        <v>26</v>
      </c>
      <c r="E21">
        <v>6</v>
      </c>
      <c r="F21" t="s">
        <v>72</v>
      </c>
      <c r="G21">
        <v>5.0999999999999996</v>
      </c>
      <c r="H21" t="s">
        <v>78</v>
      </c>
      <c r="I21">
        <v>4.5999999999999996</v>
      </c>
      <c r="J21" t="s">
        <v>82</v>
      </c>
      <c r="K21">
        <v>12.5</v>
      </c>
      <c r="L21" t="s">
        <v>237</v>
      </c>
      <c r="M21">
        <v>7.3</v>
      </c>
      <c r="N21" t="s">
        <v>29</v>
      </c>
      <c r="O21">
        <v>7</v>
      </c>
      <c r="P21" t="s">
        <v>233</v>
      </c>
      <c r="Q21">
        <v>5.9</v>
      </c>
      <c r="R21" t="s">
        <v>40</v>
      </c>
      <c r="S21">
        <v>12.2</v>
      </c>
      <c r="T21" t="s">
        <v>31</v>
      </c>
      <c r="U21">
        <v>11.6</v>
      </c>
      <c r="V21" t="s">
        <v>247</v>
      </c>
      <c r="W21">
        <v>6.6</v>
      </c>
      <c r="Y21">
        <f t="shared" si="0"/>
        <v>84.199999999999989</v>
      </c>
    </row>
    <row r="22" spans="1:25" x14ac:dyDescent="0.3">
      <c r="A22">
        <v>21</v>
      </c>
      <c r="B22" t="s">
        <v>212</v>
      </c>
      <c r="C22">
        <v>5.4</v>
      </c>
      <c r="D22" t="s">
        <v>26</v>
      </c>
      <c r="E22">
        <v>6</v>
      </c>
      <c r="F22" t="s">
        <v>101</v>
      </c>
      <c r="G22">
        <v>4.5</v>
      </c>
      <c r="H22" t="s">
        <v>78</v>
      </c>
      <c r="I22">
        <v>4.7</v>
      </c>
      <c r="J22" t="s">
        <v>82</v>
      </c>
      <c r="K22">
        <v>12.5</v>
      </c>
      <c r="L22" t="s">
        <v>29</v>
      </c>
      <c r="M22">
        <v>7.1</v>
      </c>
      <c r="N22" t="s">
        <v>187</v>
      </c>
      <c r="O22">
        <v>6.8</v>
      </c>
      <c r="P22" t="s">
        <v>98</v>
      </c>
      <c r="Q22">
        <v>5</v>
      </c>
      <c r="R22" t="s">
        <v>40</v>
      </c>
      <c r="S22">
        <v>12.2</v>
      </c>
      <c r="T22" t="s">
        <v>31</v>
      </c>
      <c r="U22">
        <v>11.7</v>
      </c>
      <c r="V22" t="s">
        <v>80</v>
      </c>
      <c r="W22">
        <v>7.6</v>
      </c>
      <c r="Y22">
        <f t="shared" si="0"/>
        <v>83.5</v>
      </c>
    </row>
    <row r="23" spans="1:25" x14ac:dyDescent="0.3">
      <c r="A23">
        <v>22</v>
      </c>
      <c r="B23" t="s">
        <v>63</v>
      </c>
      <c r="C23">
        <v>4.5</v>
      </c>
      <c r="D23" t="s">
        <v>26</v>
      </c>
      <c r="E23">
        <v>6.1</v>
      </c>
      <c r="F23" t="s">
        <v>72</v>
      </c>
      <c r="G23">
        <v>5.3</v>
      </c>
      <c r="H23" t="s">
        <v>78</v>
      </c>
      <c r="I23">
        <v>4.8</v>
      </c>
      <c r="J23" t="s">
        <v>66</v>
      </c>
      <c r="K23">
        <v>9.9</v>
      </c>
      <c r="L23" t="s">
        <v>29</v>
      </c>
      <c r="M23">
        <v>7.2</v>
      </c>
      <c r="N23" t="s">
        <v>187</v>
      </c>
      <c r="O23">
        <v>6.9</v>
      </c>
      <c r="P23" t="s">
        <v>98</v>
      </c>
      <c r="Q23">
        <v>5.0999999999999996</v>
      </c>
      <c r="R23" t="s">
        <v>40</v>
      </c>
      <c r="S23">
        <v>12.2</v>
      </c>
      <c r="T23" t="s">
        <v>80</v>
      </c>
      <c r="U23">
        <v>7.7</v>
      </c>
      <c r="V23" t="s">
        <v>248</v>
      </c>
      <c r="W23">
        <v>5</v>
      </c>
      <c r="Y23">
        <f t="shared" si="0"/>
        <v>74.7</v>
      </c>
    </row>
    <row r="24" spans="1:25" x14ac:dyDescent="0.3">
      <c r="A24">
        <v>23</v>
      </c>
      <c r="B24" t="s">
        <v>212</v>
      </c>
      <c r="C24">
        <v>5.4</v>
      </c>
      <c r="D24" t="s">
        <v>26</v>
      </c>
      <c r="E24">
        <v>6.1</v>
      </c>
      <c r="F24" t="s">
        <v>72</v>
      </c>
      <c r="G24">
        <v>5.3</v>
      </c>
      <c r="H24" t="s">
        <v>35</v>
      </c>
      <c r="I24">
        <v>5.2</v>
      </c>
      <c r="J24" t="s">
        <v>86</v>
      </c>
      <c r="K24">
        <v>8.3000000000000007</v>
      </c>
      <c r="L24" t="s">
        <v>75</v>
      </c>
      <c r="M24">
        <v>7.7</v>
      </c>
      <c r="N24" t="s">
        <v>29</v>
      </c>
      <c r="O24">
        <v>7.2</v>
      </c>
      <c r="P24" t="s">
        <v>98</v>
      </c>
      <c r="Q24">
        <v>5.2</v>
      </c>
      <c r="R24" t="s">
        <v>40</v>
      </c>
      <c r="S24">
        <v>12.2</v>
      </c>
      <c r="T24" t="s">
        <v>80</v>
      </c>
      <c r="U24">
        <v>7.7</v>
      </c>
      <c r="V24" t="s">
        <v>168</v>
      </c>
      <c r="W24">
        <v>6.8</v>
      </c>
      <c r="Y24">
        <f t="shared" si="0"/>
        <v>77.100000000000009</v>
      </c>
    </row>
    <row r="25" spans="1:25" x14ac:dyDescent="0.3">
      <c r="A25">
        <v>24</v>
      </c>
      <c r="B25" t="s">
        <v>56</v>
      </c>
      <c r="C25">
        <v>4.7</v>
      </c>
      <c r="D25" t="s">
        <v>25</v>
      </c>
      <c r="E25">
        <v>5.8</v>
      </c>
      <c r="F25" t="s">
        <v>35</v>
      </c>
      <c r="G25">
        <v>5.2</v>
      </c>
      <c r="H25" t="s">
        <v>65</v>
      </c>
      <c r="I25">
        <v>4.8</v>
      </c>
      <c r="J25" t="s">
        <v>86</v>
      </c>
      <c r="K25">
        <v>8.3000000000000007</v>
      </c>
      <c r="L25" t="s">
        <v>75</v>
      </c>
      <c r="M25">
        <v>7.8</v>
      </c>
      <c r="N25" t="s">
        <v>29</v>
      </c>
      <c r="O25">
        <v>7.3</v>
      </c>
      <c r="P25" t="s">
        <v>98</v>
      </c>
      <c r="Q25">
        <v>5.3</v>
      </c>
      <c r="R25" t="s">
        <v>40</v>
      </c>
      <c r="S25">
        <v>12.2</v>
      </c>
      <c r="T25" t="s">
        <v>31</v>
      </c>
      <c r="U25">
        <v>11.8</v>
      </c>
      <c r="V25" t="s">
        <v>80</v>
      </c>
      <c r="W25">
        <v>7.6</v>
      </c>
      <c r="Y25">
        <f t="shared" si="0"/>
        <v>80.799999999999983</v>
      </c>
    </row>
    <row r="26" spans="1:25" x14ac:dyDescent="0.3">
      <c r="A26">
        <v>25</v>
      </c>
      <c r="B26" t="s">
        <v>137</v>
      </c>
      <c r="C26">
        <v>4.4000000000000004</v>
      </c>
      <c r="D26" t="s">
        <v>24</v>
      </c>
      <c r="E26">
        <v>7.3</v>
      </c>
      <c r="F26" t="s">
        <v>35</v>
      </c>
      <c r="G26">
        <v>5.2</v>
      </c>
      <c r="H26" t="s">
        <v>65</v>
      </c>
      <c r="I26">
        <v>4.8</v>
      </c>
      <c r="J26" t="s">
        <v>27</v>
      </c>
      <c r="K26">
        <v>12.7</v>
      </c>
      <c r="L26" t="s">
        <v>86</v>
      </c>
      <c r="M26">
        <v>8.4</v>
      </c>
      <c r="N26" t="s">
        <v>53</v>
      </c>
      <c r="O26">
        <v>8</v>
      </c>
      <c r="P26" t="s">
        <v>158</v>
      </c>
      <c r="Q26">
        <v>7.8</v>
      </c>
      <c r="R26" t="s">
        <v>178</v>
      </c>
      <c r="S26">
        <v>5.4</v>
      </c>
      <c r="T26" t="s">
        <v>40</v>
      </c>
      <c r="U26">
        <v>12.2</v>
      </c>
      <c r="V26" t="s">
        <v>168</v>
      </c>
      <c r="W26">
        <v>6.8</v>
      </c>
      <c r="Y26">
        <f t="shared" si="0"/>
        <v>82.999999999999986</v>
      </c>
    </row>
    <row r="27" spans="1:25" x14ac:dyDescent="0.3">
      <c r="A27">
        <v>26</v>
      </c>
      <c r="B27" t="s">
        <v>121</v>
      </c>
      <c r="C27">
        <v>4.7</v>
      </c>
      <c r="D27" t="s">
        <v>35</v>
      </c>
      <c r="E27">
        <v>5.2</v>
      </c>
      <c r="F27" t="s">
        <v>78</v>
      </c>
      <c r="G27">
        <v>5</v>
      </c>
      <c r="H27" t="s">
        <v>249</v>
      </c>
      <c r="I27">
        <v>4.9000000000000004</v>
      </c>
      <c r="J27" t="s">
        <v>86</v>
      </c>
      <c r="K27">
        <v>8.5</v>
      </c>
      <c r="L27" t="s">
        <v>75</v>
      </c>
      <c r="M27">
        <v>7.8</v>
      </c>
      <c r="N27" t="s">
        <v>29</v>
      </c>
      <c r="O27">
        <v>7.2</v>
      </c>
      <c r="P27" t="s">
        <v>98</v>
      </c>
      <c r="Q27">
        <v>5.3</v>
      </c>
      <c r="R27" t="s">
        <v>40</v>
      </c>
      <c r="S27">
        <v>12.2</v>
      </c>
      <c r="T27" t="s">
        <v>31</v>
      </c>
      <c r="U27">
        <v>11.7</v>
      </c>
      <c r="V27" t="s">
        <v>80</v>
      </c>
      <c r="W27">
        <v>7.6</v>
      </c>
      <c r="Y27">
        <f t="shared" si="0"/>
        <v>80.099999999999994</v>
      </c>
    </row>
    <row r="28" spans="1:25" x14ac:dyDescent="0.3">
      <c r="A28">
        <v>27</v>
      </c>
      <c r="B28" t="s">
        <v>250</v>
      </c>
      <c r="C28">
        <v>4.5</v>
      </c>
      <c r="D28" t="s">
        <v>26</v>
      </c>
      <c r="E28">
        <v>6</v>
      </c>
      <c r="F28" t="s">
        <v>78</v>
      </c>
      <c r="G28">
        <v>5.0999999999999996</v>
      </c>
      <c r="H28" t="s">
        <v>91</v>
      </c>
      <c r="I28">
        <v>4.8</v>
      </c>
      <c r="J28" t="s">
        <v>27</v>
      </c>
      <c r="K28">
        <v>12.8</v>
      </c>
      <c r="L28" t="s">
        <v>29</v>
      </c>
      <c r="M28">
        <v>7.4</v>
      </c>
      <c r="N28" t="s">
        <v>98</v>
      </c>
      <c r="O28">
        <v>5.5</v>
      </c>
      <c r="P28" t="s">
        <v>251</v>
      </c>
      <c r="Q28">
        <v>5.4</v>
      </c>
      <c r="R28" t="s">
        <v>40</v>
      </c>
      <c r="S28">
        <v>12.2</v>
      </c>
      <c r="T28" t="s">
        <v>31</v>
      </c>
      <c r="U28">
        <v>11.7</v>
      </c>
      <c r="V28" t="s">
        <v>80</v>
      </c>
      <c r="W28">
        <v>7.8</v>
      </c>
      <c r="Y28">
        <f t="shared" si="0"/>
        <v>83.2</v>
      </c>
    </row>
    <row r="29" spans="1:25" x14ac:dyDescent="0.3">
      <c r="A29">
        <v>28</v>
      </c>
      <c r="B29" t="s">
        <v>23</v>
      </c>
      <c r="C29">
        <v>4.9000000000000004</v>
      </c>
      <c r="D29" t="s">
        <v>26</v>
      </c>
      <c r="E29">
        <v>6</v>
      </c>
      <c r="F29" t="s">
        <v>48</v>
      </c>
      <c r="G29">
        <v>5.9</v>
      </c>
      <c r="H29" t="s">
        <v>202</v>
      </c>
      <c r="I29">
        <v>5.2</v>
      </c>
      <c r="J29" t="s">
        <v>65</v>
      </c>
      <c r="K29">
        <v>4.8</v>
      </c>
      <c r="L29" t="s">
        <v>44</v>
      </c>
      <c r="M29">
        <v>8.1</v>
      </c>
      <c r="N29" t="s">
        <v>86</v>
      </c>
      <c r="O29">
        <v>8.5</v>
      </c>
      <c r="P29" t="s">
        <v>38</v>
      </c>
      <c r="Q29">
        <v>6.6</v>
      </c>
      <c r="R29" t="s">
        <v>31</v>
      </c>
      <c r="S29">
        <v>11.7</v>
      </c>
      <c r="T29" t="s">
        <v>80</v>
      </c>
      <c r="U29">
        <v>7.8</v>
      </c>
      <c r="V29" t="s">
        <v>102</v>
      </c>
      <c r="W29">
        <v>7.4</v>
      </c>
      <c r="Y29">
        <f t="shared" si="0"/>
        <v>76.900000000000006</v>
      </c>
    </row>
    <row r="30" spans="1:25" x14ac:dyDescent="0.3">
      <c r="A30">
        <v>29</v>
      </c>
      <c r="B30" t="s">
        <v>252</v>
      </c>
      <c r="C30">
        <v>3.9</v>
      </c>
      <c r="D30" t="s">
        <v>26</v>
      </c>
      <c r="E30">
        <v>6.1</v>
      </c>
      <c r="F30" t="s">
        <v>72</v>
      </c>
      <c r="G30">
        <v>5.2</v>
      </c>
      <c r="H30" t="s">
        <v>48</v>
      </c>
      <c r="I30">
        <v>6</v>
      </c>
      <c r="J30" t="s">
        <v>66</v>
      </c>
      <c r="K30">
        <v>9.6</v>
      </c>
      <c r="L30" t="s">
        <v>44</v>
      </c>
      <c r="M30">
        <v>8.1999999999999993</v>
      </c>
      <c r="N30" t="s">
        <v>29</v>
      </c>
      <c r="O30">
        <v>7.3</v>
      </c>
      <c r="P30" t="s">
        <v>98</v>
      </c>
      <c r="Q30">
        <v>5.5</v>
      </c>
      <c r="R30" t="s">
        <v>251</v>
      </c>
      <c r="S30">
        <v>5.5</v>
      </c>
      <c r="T30" t="s">
        <v>40</v>
      </c>
      <c r="U30">
        <v>12</v>
      </c>
      <c r="V30" t="s">
        <v>102</v>
      </c>
      <c r="W30">
        <v>7.5</v>
      </c>
      <c r="Y30">
        <f t="shared" si="0"/>
        <v>76.8</v>
      </c>
    </row>
    <row r="31" spans="1:25" x14ac:dyDescent="0.3">
      <c r="A31">
        <v>30</v>
      </c>
      <c r="B31" t="s">
        <v>23</v>
      </c>
      <c r="C31">
        <v>4.9000000000000004</v>
      </c>
      <c r="D31" t="s">
        <v>48</v>
      </c>
      <c r="E31">
        <v>6</v>
      </c>
      <c r="F31" t="s">
        <v>89</v>
      </c>
      <c r="G31">
        <v>5.4</v>
      </c>
      <c r="H31" t="s">
        <v>26</v>
      </c>
      <c r="I31">
        <v>6.1</v>
      </c>
      <c r="J31" t="s">
        <v>86</v>
      </c>
      <c r="K31">
        <v>8.6</v>
      </c>
      <c r="L31" t="s">
        <v>44</v>
      </c>
      <c r="M31">
        <v>8.3000000000000007</v>
      </c>
      <c r="N31" t="s">
        <v>29</v>
      </c>
      <c r="O31">
        <v>7.3</v>
      </c>
      <c r="P31" t="s">
        <v>98</v>
      </c>
      <c r="Q31">
        <v>5.6</v>
      </c>
      <c r="R31" t="s">
        <v>40</v>
      </c>
      <c r="S31">
        <v>12</v>
      </c>
      <c r="T31" t="s">
        <v>31</v>
      </c>
      <c r="U31">
        <v>11.7</v>
      </c>
      <c r="V31" t="s">
        <v>102</v>
      </c>
      <c r="W31">
        <v>7.5</v>
      </c>
      <c r="Y31">
        <f t="shared" si="0"/>
        <v>83.399999999999991</v>
      </c>
    </row>
    <row r="32" spans="1:25" x14ac:dyDescent="0.3">
      <c r="A32">
        <v>31</v>
      </c>
      <c r="B32" t="s">
        <v>253</v>
      </c>
      <c r="C32">
        <v>5</v>
      </c>
      <c r="D32" t="s">
        <v>24</v>
      </c>
      <c r="E32">
        <v>7.3</v>
      </c>
      <c r="F32" t="s">
        <v>50</v>
      </c>
      <c r="G32">
        <v>4.8</v>
      </c>
      <c r="H32" t="s">
        <v>254</v>
      </c>
      <c r="I32">
        <v>4.2</v>
      </c>
      <c r="J32" t="s">
        <v>27</v>
      </c>
      <c r="K32">
        <v>12.8</v>
      </c>
      <c r="L32" t="s">
        <v>75</v>
      </c>
      <c r="M32">
        <v>7.3</v>
      </c>
      <c r="N32" t="s">
        <v>38</v>
      </c>
      <c r="O32">
        <v>6.7</v>
      </c>
      <c r="P32" t="s">
        <v>98</v>
      </c>
      <c r="Q32">
        <v>5.7</v>
      </c>
      <c r="R32" t="s">
        <v>209</v>
      </c>
      <c r="S32">
        <v>5.4</v>
      </c>
      <c r="T32" t="s">
        <v>40</v>
      </c>
      <c r="U32">
        <v>12.2</v>
      </c>
      <c r="V32" t="s">
        <v>31</v>
      </c>
      <c r="W32">
        <v>11.7</v>
      </c>
      <c r="Y32">
        <f t="shared" si="0"/>
        <v>83.100000000000009</v>
      </c>
    </row>
    <row r="33" spans="1:25" x14ac:dyDescent="0.3">
      <c r="A33">
        <v>32</v>
      </c>
      <c r="B33" t="s">
        <v>195</v>
      </c>
      <c r="C33">
        <v>4.4000000000000004</v>
      </c>
      <c r="D33" t="s">
        <v>24</v>
      </c>
      <c r="E33">
        <v>7.4</v>
      </c>
      <c r="F33" t="s">
        <v>26</v>
      </c>
      <c r="G33">
        <v>6.2</v>
      </c>
      <c r="H33" t="s">
        <v>35</v>
      </c>
      <c r="I33">
        <v>5.3</v>
      </c>
      <c r="J33" t="s">
        <v>27</v>
      </c>
      <c r="K33">
        <v>12.8</v>
      </c>
      <c r="L33" t="s">
        <v>158</v>
      </c>
      <c r="M33">
        <v>7.6</v>
      </c>
      <c r="N33" t="s">
        <v>38</v>
      </c>
      <c r="O33">
        <v>6.9</v>
      </c>
      <c r="P33" t="s">
        <v>54</v>
      </c>
      <c r="Q33">
        <v>5.5</v>
      </c>
      <c r="R33" t="s">
        <v>32</v>
      </c>
      <c r="S33">
        <v>8.1999999999999993</v>
      </c>
      <c r="T33" t="s">
        <v>80</v>
      </c>
      <c r="U33">
        <v>7.7</v>
      </c>
      <c r="V33" t="s">
        <v>102</v>
      </c>
      <c r="W33">
        <v>7.7</v>
      </c>
      <c r="Y33">
        <f t="shared" si="0"/>
        <v>79.7</v>
      </c>
    </row>
    <row r="34" spans="1:25" x14ac:dyDescent="0.3">
      <c r="A34">
        <v>33</v>
      </c>
      <c r="B34" t="s">
        <v>239</v>
      </c>
      <c r="C34">
        <v>5</v>
      </c>
      <c r="D34" t="s">
        <v>24</v>
      </c>
      <c r="E34">
        <v>7.5</v>
      </c>
      <c r="F34" t="s">
        <v>26</v>
      </c>
      <c r="G34">
        <v>6.2</v>
      </c>
      <c r="H34" t="s">
        <v>208</v>
      </c>
      <c r="I34">
        <v>4.5</v>
      </c>
      <c r="J34" t="s">
        <v>27</v>
      </c>
      <c r="K34">
        <v>13</v>
      </c>
      <c r="L34" t="s">
        <v>29</v>
      </c>
      <c r="M34">
        <v>7.1</v>
      </c>
      <c r="N34" t="s">
        <v>38</v>
      </c>
      <c r="O34">
        <v>6.9</v>
      </c>
      <c r="P34" t="s">
        <v>98</v>
      </c>
      <c r="Q34">
        <v>5.6</v>
      </c>
      <c r="R34" t="s">
        <v>40</v>
      </c>
      <c r="S34">
        <v>12.3</v>
      </c>
      <c r="T34" t="s">
        <v>102</v>
      </c>
      <c r="U34">
        <v>7.7</v>
      </c>
      <c r="V34" t="s">
        <v>80</v>
      </c>
      <c r="W34">
        <v>7.6</v>
      </c>
      <c r="Y34">
        <f>SUM(C34:W34)</f>
        <v>83.4</v>
      </c>
    </row>
    <row r="35" spans="1:25" x14ac:dyDescent="0.3">
      <c r="A35">
        <v>34</v>
      </c>
      <c r="B35" t="s">
        <v>253</v>
      </c>
      <c r="C35">
        <v>5</v>
      </c>
      <c r="D35" t="s">
        <v>24</v>
      </c>
      <c r="E35">
        <v>7.5</v>
      </c>
      <c r="F35" t="s">
        <v>89</v>
      </c>
      <c r="G35">
        <v>5.5</v>
      </c>
      <c r="H35" t="s">
        <v>91</v>
      </c>
      <c r="I35">
        <v>4.8</v>
      </c>
      <c r="J35" t="s">
        <v>27</v>
      </c>
      <c r="K35">
        <v>13</v>
      </c>
      <c r="L35" t="s">
        <v>68</v>
      </c>
      <c r="M35">
        <v>7.6</v>
      </c>
      <c r="N35" t="s">
        <v>29</v>
      </c>
      <c r="O35">
        <v>7.1</v>
      </c>
      <c r="P35" t="s">
        <v>98</v>
      </c>
      <c r="Q35">
        <v>5.6</v>
      </c>
      <c r="R35" t="s">
        <v>255</v>
      </c>
      <c r="S35">
        <v>5.3</v>
      </c>
      <c r="T35" t="s">
        <v>40</v>
      </c>
      <c r="U35">
        <v>12.3</v>
      </c>
      <c r="V35" t="s">
        <v>256</v>
      </c>
      <c r="W35">
        <v>8.9</v>
      </c>
      <c r="Y35">
        <f>SUM(C35:W35)</f>
        <v>82.600000000000009</v>
      </c>
    </row>
    <row r="36" spans="1:25" x14ac:dyDescent="0.3">
      <c r="A36">
        <v>35</v>
      </c>
      <c r="B36" t="s">
        <v>212</v>
      </c>
      <c r="C36">
        <v>5.4</v>
      </c>
      <c r="D36" t="s">
        <v>24</v>
      </c>
      <c r="E36">
        <v>7.6</v>
      </c>
      <c r="F36" t="s">
        <v>65</v>
      </c>
      <c r="G36">
        <v>4.8</v>
      </c>
      <c r="H36" t="s">
        <v>91</v>
      </c>
      <c r="I36">
        <v>4.9000000000000004</v>
      </c>
      <c r="J36" t="s">
        <v>27</v>
      </c>
      <c r="K36">
        <v>13</v>
      </c>
      <c r="L36" t="s">
        <v>67</v>
      </c>
      <c r="M36">
        <v>11.5</v>
      </c>
      <c r="N36" t="s">
        <v>29</v>
      </c>
      <c r="O36">
        <v>7.2</v>
      </c>
      <c r="P36" t="s">
        <v>98</v>
      </c>
      <c r="Q36">
        <v>5.6</v>
      </c>
      <c r="R36" t="s">
        <v>40</v>
      </c>
      <c r="S36">
        <v>12.4</v>
      </c>
      <c r="T36" t="s">
        <v>55</v>
      </c>
      <c r="U36">
        <v>6</v>
      </c>
      <c r="V36" t="s">
        <v>124</v>
      </c>
      <c r="W36">
        <v>5.6</v>
      </c>
      <c r="Y36">
        <f t="shared" si="0"/>
        <v>84</v>
      </c>
    </row>
    <row r="37" spans="1:25" x14ac:dyDescent="0.3">
      <c r="A37">
        <v>36</v>
      </c>
      <c r="B37" t="s">
        <v>253</v>
      </c>
      <c r="C37">
        <v>5</v>
      </c>
      <c r="D37" t="s">
        <v>24</v>
      </c>
      <c r="E37">
        <v>7.6</v>
      </c>
      <c r="F37" t="s">
        <v>26</v>
      </c>
      <c r="G37">
        <v>6.1</v>
      </c>
      <c r="H37" t="s">
        <v>91</v>
      </c>
      <c r="I37">
        <v>4.9000000000000004</v>
      </c>
      <c r="J37" t="s">
        <v>27</v>
      </c>
      <c r="K37">
        <v>13.1</v>
      </c>
      <c r="L37" t="s">
        <v>75</v>
      </c>
      <c r="M37">
        <v>7.3</v>
      </c>
      <c r="N37" t="s">
        <v>98</v>
      </c>
      <c r="O37">
        <v>5.6</v>
      </c>
      <c r="P37" t="s">
        <v>251</v>
      </c>
      <c r="Q37">
        <v>5.5</v>
      </c>
      <c r="R37" t="s">
        <v>40</v>
      </c>
      <c r="S37">
        <v>12.4</v>
      </c>
      <c r="T37" t="s">
        <v>238</v>
      </c>
      <c r="U37">
        <v>7.1</v>
      </c>
      <c r="V37" t="s">
        <v>139</v>
      </c>
      <c r="W37">
        <v>7</v>
      </c>
      <c r="Y37">
        <f t="shared" si="0"/>
        <v>81.599999999999994</v>
      </c>
    </row>
    <row r="38" spans="1:25" x14ac:dyDescent="0.3">
      <c r="A38">
        <v>37</v>
      </c>
      <c r="B38" t="s">
        <v>239</v>
      </c>
      <c r="C38">
        <v>5</v>
      </c>
      <c r="D38" t="s">
        <v>24</v>
      </c>
      <c r="E38">
        <v>7.7</v>
      </c>
      <c r="F38" t="s">
        <v>72</v>
      </c>
      <c r="G38">
        <v>5.2</v>
      </c>
      <c r="H38" t="s">
        <v>91</v>
      </c>
      <c r="I38">
        <v>4.9000000000000004</v>
      </c>
      <c r="J38" t="s">
        <v>27</v>
      </c>
      <c r="K38">
        <v>13.1</v>
      </c>
      <c r="L38" t="s">
        <v>66</v>
      </c>
      <c r="M38">
        <v>9.5</v>
      </c>
      <c r="N38" t="s">
        <v>75</v>
      </c>
      <c r="O38">
        <v>7.4</v>
      </c>
      <c r="P38" t="s">
        <v>29</v>
      </c>
      <c r="Q38">
        <v>7.2</v>
      </c>
      <c r="R38" t="s">
        <v>98</v>
      </c>
      <c r="S38">
        <v>5.6</v>
      </c>
      <c r="T38" t="s">
        <v>40</v>
      </c>
      <c r="U38">
        <v>12.4</v>
      </c>
      <c r="V38" t="s">
        <v>55</v>
      </c>
      <c r="W38">
        <v>6.1</v>
      </c>
      <c r="Y38">
        <f t="shared" si="0"/>
        <v>84.1</v>
      </c>
    </row>
    <row r="39" spans="1:25" x14ac:dyDescent="0.3">
      <c r="A39">
        <v>38</v>
      </c>
      <c r="B39" t="s">
        <v>253</v>
      </c>
      <c r="C39">
        <v>5.0999999999999996</v>
      </c>
      <c r="D39" t="s">
        <v>24</v>
      </c>
      <c r="E39">
        <v>7.8</v>
      </c>
      <c r="F39" t="s">
        <v>197</v>
      </c>
      <c r="G39">
        <v>4.5</v>
      </c>
      <c r="H39" t="s">
        <v>189</v>
      </c>
      <c r="I39">
        <v>4.0999999999999996</v>
      </c>
      <c r="J39" t="s">
        <v>27</v>
      </c>
      <c r="K39">
        <v>13.1</v>
      </c>
      <c r="L39" t="s">
        <v>75</v>
      </c>
      <c r="M39">
        <v>7.5</v>
      </c>
      <c r="N39" t="s">
        <v>257</v>
      </c>
      <c r="O39">
        <v>5.7</v>
      </c>
      <c r="P39" t="s">
        <v>116</v>
      </c>
      <c r="Q39">
        <v>5.0999999999999996</v>
      </c>
      <c r="R39" t="s">
        <v>40</v>
      </c>
      <c r="S39">
        <v>12.4</v>
      </c>
      <c r="T39" t="s">
        <v>31</v>
      </c>
      <c r="U39">
        <v>11.4</v>
      </c>
      <c r="V39" t="s">
        <v>55</v>
      </c>
      <c r="W39">
        <v>6.1</v>
      </c>
      <c r="Y39">
        <f t="shared" si="0"/>
        <v>82.800000000000011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F9E4-D044-4408-B3F2-34055E8639B0}">
  <dimension ref="A1:Y39"/>
  <sheetViews>
    <sheetView workbookViewId="0">
      <selection activeCell="R32" sqref="R32"/>
    </sheetView>
  </sheetViews>
  <sheetFormatPr defaultRowHeight="14.4" x14ac:dyDescent="0.3"/>
  <cols>
    <col min="1" max="1" width="10.109375" bestFit="1" customWidth="1"/>
    <col min="2" max="2" width="17.6640625" customWidth="1"/>
    <col min="4" max="4" width="17.6640625" customWidth="1"/>
    <col min="6" max="6" width="17.6640625" customWidth="1"/>
    <col min="8" max="8" width="17.6640625" customWidth="1"/>
    <col min="10" max="10" width="17.6640625" customWidth="1"/>
    <col min="12" max="12" width="17.6640625" customWidth="1"/>
    <col min="14" max="14" width="17.6640625" customWidth="1"/>
    <col min="16" max="16" width="17.6640625" customWidth="1"/>
    <col min="18" max="18" width="17.6640625" customWidth="1"/>
    <col min="20" max="20" width="17.6640625" customWidth="1"/>
    <col min="22" max="22" width="17.6640625" customWidth="1"/>
  </cols>
  <sheetData>
    <row r="1" spans="1:25" x14ac:dyDescent="0.3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3">
      <c r="A2">
        <v>1</v>
      </c>
      <c r="B2" t="s">
        <v>88</v>
      </c>
      <c r="C2">
        <v>5</v>
      </c>
      <c r="D2" t="s">
        <v>89</v>
      </c>
      <c r="E2">
        <v>5.5</v>
      </c>
      <c r="F2" t="s">
        <v>90</v>
      </c>
      <c r="G2">
        <v>5</v>
      </c>
      <c r="H2" t="s">
        <v>91</v>
      </c>
      <c r="I2">
        <v>5</v>
      </c>
      <c r="J2" t="s">
        <v>51</v>
      </c>
      <c r="K2">
        <v>12.5</v>
      </c>
      <c r="L2" t="s">
        <v>29</v>
      </c>
      <c r="M2">
        <v>9</v>
      </c>
      <c r="N2" t="s">
        <v>92</v>
      </c>
      <c r="O2">
        <v>8.5</v>
      </c>
      <c r="P2" t="s">
        <v>54</v>
      </c>
      <c r="Q2">
        <v>6.5</v>
      </c>
      <c r="R2" t="s">
        <v>40</v>
      </c>
      <c r="S2">
        <v>14</v>
      </c>
      <c r="T2" t="s">
        <v>55</v>
      </c>
      <c r="U2">
        <v>6.5</v>
      </c>
      <c r="V2" t="s">
        <v>93</v>
      </c>
      <c r="W2">
        <v>6.5</v>
      </c>
      <c r="Y2">
        <f>SUM(C2:W2)</f>
        <v>84</v>
      </c>
    </row>
    <row r="3" spans="1:25" x14ac:dyDescent="0.3">
      <c r="A3">
        <v>2</v>
      </c>
      <c r="B3" t="s">
        <v>94</v>
      </c>
      <c r="C3">
        <v>4</v>
      </c>
      <c r="D3" t="s">
        <v>48</v>
      </c>
      <c r="E3">
        <v>5.6</v>
      </c>
      <c r="F3" t="s">
        <v>91</v>
      </c>
      <c r="G3">
        <v>5.0999999999999996</v>
      </c>
      <c r="H3" t="s">
        <v>95</v>
      </c>
      <c r="I3">
        <v>4.5</v>
      </c>
      <c r="J3" t="s">
        <v>51</v>
      </c>
      <c r="K3">
        <v>12.5</v>
      </c>
      <c r="L3" t="s">
        <v>29</v>
      </c>
      <c r="M3">
        <v>9</v>
      </c>
      <c r="N3" t="s">
        <v>38</v>
      </c>
      <c r="O3">
        <v>8</v>
      </c>
      <c r="P3" t="s">
        <v>44</v>
      </c>
      <c r="Q3">
        <v>7.5</v>
      </c>
      <c r="R3" t="s">
        <v>96</v>
      </c>
      <c r="S3">
        <v>6.5</v>
      </c>
      <c r="T3" t="s">
        <v>40</v>
      </c>
      <c r="U3">
        <v>14</v>
      </c>
      <c r="V3" t="s">
        <v>55</v>
      </c>
      <c r="W3">
        <v>6.5</v>
      </c>
      <c r="Y3">
        <f t="shared" ref="Y3:Y39" si="0">SUM(C3:W3)</f>
        <v>83.2</v>
      </c>
    </row>
    <row r="4" spans="1:25" x14ac:dyDescent="0.3">
      <c r="A4">
        <v>3</v>
      </c>
      <c r="B4" t="s">
        <v>88</v>
      </c>
      <c r="C4">
        <v>5</v>
      </c>
      <c r="D4" t="s">
        <v>48</v>
      </c>
      <c r="E4">
        <v>5.7</v>
      </c>
      <c r="F4" t="s">
        <v>91</v>
      </c>
      <c r="G4">
        <v>5.2</v>
      </c>
      <c r="H4" t="s">
        <v>50</v>
      </c>
      <c r="I4">
        <v>4.9000000000000004</v>
      </c>
      <c r="J4" t="s">
        <v>29</v>
      </c>
      <c r="K4">
        <v>9</v>
      </c>
      <c r="L4" t="s">
        <v>92</v>
      </c>
      <c r="M4">
        <v>8.6</v>
      </c>
      <c r="N4" t="s">
        <v>97</v>
      </c>
      <c r="O4">
        <v>6.7</v>
      </c>
      <c r="P4" t="s">
        <v>98</v>
      </c>
      <c r="Q4">
        <v>6.6</v>
      </c>
      <c r="R4" t="s">
        <v>40</v>
      </c>
      <c r="S4">
        <v>14</v>
      </c>
      <c r="T4" t="s">
        <v>99</v>
      </c>
      <c r="U4">
        <v>7</v>
      </c>
      <c r="V4" t="s">
        <v>55</v>
      </c>
      <c r="W4">
        <v>6.6</v>
      </c>
      <c r="Y4">
        <f t="shared" si="0"/>
        <v>79.3</v>
      </c>
    </row>
    <row r="5" spans="1:25" x14ac:dyDescent="0.3">
      <c r="A5">
        <v>4</v>
      </c>
      <c r="B5" t="s">
        <v>47</v>
      </c>
      <c r="C5">
        <v>4.5</v>
      </c>
      <c r="D5" t="s">
        <v>48</v>
      </c>
      <c r="E5">
        <v>5.8</v>
      </c>
      <c r="F5" t="s">
        <v>49</v>
      </c>
      <c r="G5">
        <v>5.0999999999999996</v>
      </c>
      <c r="H5" t="s">
        <v>50</v>
      </c>
      <c r="I5">
        <v>4.9000000000000004</v>
      </c>
      <c r="J5" t="s">
        <v>51</v>
      </c>
      <c r="K5">
        <v>12.5</v>
      </c>
      <c r="L5" t="s">
        <v>44</v>
      </c>
      <c r="M5">
        <v>7.7</v>
      </c>
      <c r="N5" t="s">
        <v>52</v>
      </c>
      <c r="O5">
        <v>7.2</v>
      </c>
      <c r="P5" t="s">
        <v>53</v>
      </c>
      <c r="Q5">
        <v>7</v>
      </c>
      <c r="R5" t="s">
        <v>54</v>
      </c>
      <c r="S5">
        <v>6.4</v>
      </c>
      <c r="T5" t="s">
        <v>40</v>
      </c>
      <c r="U5">
        <v>14</v>
      </c>
      <c r="V5" t="s">
        <v>55</v>
      </c>
      <c r="W5">
        <v>6.6</v>
      </c>
      <c r="Y5">
        <f t="shared" si="0"/>
        <v>81.699999999999989</v>
      </c>
    </row>
    <row r="6" spans="1:25" x14ac:dyDescent="0.3">
      <c r="A6">
        <v>5</v>
      </c>
      <c r="B6" t="s">
        <v>100</v>
      </c>
      <c r="C6">
        <v>4.5999999999999996</v>
      </c>
      <c r="D6" t="s">
        <v>48</v>
      </c>
      <c r="E6">
        <v>5.8</v>
      </c>
      <c r="F6" t="s">
        <v>50</v>
      </c>
      <c r="G6">
        <v>5</v>
      </c>
      <c r="H6" t="s">
        <v>101</v>
      </c>
      <c r="I6">
        <v>4.5</v>
      </c>
      <c r="J6" t="s">
        <v>67</v>
      </c>
      <c r="K6">
        <v>9.1</v>
      </c>
      <c r="L6" t="s">
        <v>29</v>
      </c>
      <c r="M6">
        <v>8.9</v>
      </c>
      <c r="N6" t="s">
        <v>58</v>
      </c>
      <c r="O6">
        <v>8</v>
      </c>
      <c r="P6" t="s">
        <v>44</v>
      </c>
      <c r="Q6">
        <v>7.8</v>
      </c>
      <c r="R6" t="s">
        <v>52</v>
      </c>
      <c r="S6">
        <v>7.2</v>
      </c>
      <c r="T6" t="s">
        <v>40</v>
      </c>
      <c r="U6">
        <v>14.1</v>
      </c>
      <c r="V6" t="s">
        <v>102</v>
      </c>
      <c r="W6">
        <v>8</v>
      </c>
      <c r="Y6">
        <f t="shared" si="0"/>
        <v>83</v>
      </c>
    </row>
    <row r="7" spans="1:25" x14ac:dyDescent="0.3">
      <c r="A7">
        <v>6</v>
      </c>
      <c r="B7" t="s">
        <v>47</v>
      </c>
      <c r="C7">
        <v>4.5</v>
      </c>
      <c r="D7" t="s">
        <v>91</v>
      </c>
      <c r="E7">
        <v>5.3</v>
      </c>
      <c r="F7" t="s">
        <v>182</v>
      </c>
      <c r="G7">
        <v>5</v>
      </c>
      <c r="H7" t="s">
        <v>183</v>
      </c>
      <c r="I7">
        <v>4.5</v>
      </c>
      <c r="J7" t="s">
        <v>51</v>
      </c>
      <c r="K7">
        <v>12.5</v>
      </c>
      <c r="L7" t="s">
        <v>29</v>
      </c>
      <c r="M7">
        <v>8.9</v>
      </c>
      <c r="N7" t="s">
        <v>92</v>
      </c>
      <c r="O7">
        <v>8.6999999999999993</v>
      </c>
      <c r="P7" t="s">
        <v>97</v>
      </c>
      <c r="Q7">
        <v>6.9</v>
      </c>
      <c r="R7" t="s">
        <v>54</v>
      </c>
      <c r="S7">
        <v>6.3</v>
      </c>
      <c r="T7" t="s">
        <v>40</v>
      </c>
      <c r="U7">
        <v>14.1</v>
      </c>
      <c r="V7" t="s">
        <v>55</v>
      </c>
      <c r="W7">
        <v>6.9</v>
      </c>
      <c r="Y7">
        <f t="shared" si="0"/>
        <v>83.600000000000009</v>
      </c>
    </row>
    <row r="8" spans="1:25" x14ac:dyDescent="0.3">
      <c r="A8">
        <v>7</v>
      </c>
      <c r="B8" t="s">
        <v>184</v>
      </c>
      <c r="C8">
        <v>4.2</v>
      </c>
      <c r="D8" t="s">
        <v>175</v>
      </c>
      <c r="E8">
        <v>6.6</v>
      </c>
      <c r="F8" t="s">
        <v>185</v>
      </c>
      <c r="G8">
        <v>5.5</v>
      </c>
      <c r="H8" t="s">
        <v>186</v>
      </c>
      <c r="I8">
        <v>4</v>
      </c>
      <c r="J8" t="s">
        <v>51</v>
      </c>
      <c r="K8">
        <v>12.5</v>
      </c>
      <c r="L8" t="s">
        <v>67</v>
      </c>
      <c r="M8">
        <v>9.1999999999999993</v>
      </c>
      <c r="N8" t="s">
        <v>187</v>
      </c>
      <c r="O8">
        <v>8.5</v>
      </c>
      <c r="P8" t="s">
        <v>53</v>
      </c>
      <c r="Q8">
        <v>7.1</v>
      </c>
      <c r="R8" t="s">
        <v>154</v>
      </c>
      <c r="S8">
        <v>5.6</v>
      </c>
      <c r="T8" t="s">
        <v>40</v>
      </c>
      <c r="U8">
        <v>14.1</v>
      </c>
      <c r="V8" t="s">
        <v>188</v>
      </c>
      <c r="W8">
        <v>5.6</v>
      </c>
      <c r="Y8">
        <f t="shared" si="0"/>
        <v>82.899999999999991</v>
      </c>
    </row>
    <row r="9" spans="1:25" x14ac:dyDescent="0.3">
      <c r="A9">
        <v>8</v>
      </c>
      <c r="B9" t="s">
        <v>100</v>
      </c>
      <c r="C9">
        <v>4.7</v>
      </c>
      <c r="D9" t="s">
        <v>50</v>
      </c>
      <c r="E9">
        <v>5</v>
      </c>
      <c r="F9" t="s">
        <v>190</v>
      </c>
      <c r="G9">
        <v>5</v>
      </c>
      <c r="H9" t="s">
        <v>189</v>
      </c>
      <c r="I9">
        <v>4.4000000000000004</v>
      </c>
      <c r="J9" t="s">
        <v>51</v>
      </c>
      <c r="K9">
        <v>12.6</v>
      </c>
      <c r="L9" t="s">
        <v>67</v>
      </c>
      <c r="M9">
        <v>9.3000000000000007</v>
      </c>
      <c r="N9" t="s">
        <v>44</v>
      </c>
      <c r="O9">
        <v>8</v>
      </c>
      <c r="P9" t="s">
        <v>191</v>
      </c>
      <c r="Q9">
        <v>5.7</v>
      </c>
      <c r="R9" t="s">
        <v>40</v>
      </c>
      <c r="S9">
        <v>14.1</v>
      </c>
      <c r="T9" t="s">
        <v>102</v>
      </c>
      <c r="U9">
        <v>8</v>
      </c>
      <c r="V9" t="s">
        <v>192</v>
      </c>
      <c r="W9">
        <v>7.1</v>
      </c>
      <c r="Y9">
        <f t="shared" si="0"/>
        <v>83.899999999999991</v>
      </c>
    </row>
    <row r="10" spans="1:25" x14ac:dyDescent="0.3">
      <c r="A10">
        <v>9</v>
      </c>
      <c r="B10" t="s">
        <v>94</v>
      </c>
      <c r="C10">
        <v>4.0999999999999996</v>
      </c>
      <c r="D10" t="s">
        <v>175</v>
      </c>
      <c r="E10">
        <v>6.9</v>
      </c>
      <c r="F10" t="s">
        <v>50</v>
      </c>
      <c r="G10">
        <v>5.0999999999999996</v>
      </c>
      <c r="H10" t="s">
        <v>194</v>
      </c>
      <c r="I10">
        <v>4.9000000000000004</v>
      </c>
      <c r="J10" t="s">
        <v>193</v>
      </c>
      <c r="K10">
        <v>4.4000000000000004</v>
      </c>
      <c r="L10" t="s">
        <v>51</v>
      </c>
      <c r="M10">
        <v>12.6</v>
      </c>
      <c r="N10" t="s">
        <v>67</v>
      </c>
      <c r="O10">
        <v>9.5</v>
      </c>
      <c r="P10" t="s">
        <v>66</v>
      </c>
      <c r="Q10">
        <v>8.4</v>
      </c>
      <c r="R10" t="s">
        <v>191</v>
      </c>
      <c r="S10">
        <v>5.7</v>
      </c>
      <c r="T10" t="s">
        <v>40</v>
      </c>
      <c r="U10">
        <v>14</v>
      </c>
      <c r="V10" t="s">
        <v>102</v>
      </c>
      <c r="W10">
        <v>8.1999999999999993</v>
      </c>
      <c r="Y10">
        <f t="shared" si="0"/>
        <v>83.8</v>
      </c>
    </row>
    <row r="11" spans="1:25" x14ac:dyDescent="0.3">
      <c r="A11">
        <v>10</v>
      </c>
      <c r="B11" t="s">
        <v>184</v>
      </c>
      <c r="C11">
        <v>4.2</v>
      </c>
      <c r="D11" t="s">
        <v>175</v>
      </c>
      <c r="E11">
        <v>7</v>
      </c>
      <c r="F11" t="s">
        <v>50</v>
      </c>
      <c r="G11">
        <v>5.2</v>
      </c>
      <c r="H11" t="s">
        <v>90</v>
      </c>
      <c r="I11">
        <v>4.7</v>
      </c>
      <c r="J11" t="s">
        <v>51</v>
      </c>
      <c r="K11">
        <v>12.8</v>
      </c>
      <c r="L11" t="s">
        <v>67</v>
      </c>
      <c r="M11">
        <v>9.5</v>
      </c>
      <c r="N11" t="s">
        <v>92</v>
      </c>
      <c r="O11">
        <v>8.5</v>
      </c>
      <c r="P11" t="s">
        <v>187</v>
      </c>
      <c r="Q11">
        <v>8.5</v>
      </c>
      <c r="R11" t="s">
        <v>53</v>
      </c>
      <c r="S11">
        <v>7.4</v>
      </c>
      <c r="T11" t="s">
        <v>102</v>
      </c>
      <c r="U11">
        <v>8.3000000000000007</v>
      </c>
      <c r="V11" t="s">
        <v>55</v>
      </c>
      <c r="W11">
        <v>7.1</v>
      </c>
      <c r="Y11">
        <f t="shared" si="0"/>
        <v>83.199999999999989</v>
      </c>
    </row>
    <row r="12" spans="1:25" x14ac:dyDescent="0.3">
      <c r="A12">
        <v>11</v>
      </c>
      <c r="B12" t="s">
        <v>195</v>
      </c>
      <c r="C12">
        <v>4.5</v>
      </c>
      <c r="D12" t="s">
        <v>196</v>
      </c>
      <c r="E12">
        <v>5.2</v>
      </c>
      <c r="F12" t="s">
        <v>193</v>
      </c>
      <c r="G12">
        <v>4.5999999999999996</v>
      </c>
      <c r="H12" t="s">
        <v>65</v>
      </c>
      <c r="I12">
        <v>4.5</v>
      </c>
      <c r="J12" t="s">
        <v>51</v>
      </c>
      <c r="K12">
        <v>12.8</v>
      </c>
      <c r="L12" t="s">
        <v>67</v>
      </c>
      <c r="M12">
        <v>9.6</v>
      </c>
      <c r="N12" t="s">
        <v>37</v>
      </c>
      <c r="O12">
        <v>7.5</v>
      </c>
      <c r="P12" t="s">
        <v>53</v>
      </c>
      <c r="Q12">
        <v>7.4</v>
      </c>
      <c r="R12" t="s">
        <v>40</v>
      </c>
      <c r="S12">
        <v>14</v>
      </c>
      <c r="T12" t="s">
        <v>41</v>
      </c>
      <c r="U12">
        <v>7.5</v>
      </c>
      <c r="V12" t="s">
        <v>70</v>
      </c>
      <c r="W12">
        <v>5.8</v>
      </c>
      <c r="Y12">
        <f t="shared" si="0"/>
        <v>83.399999999999991</v>
      </c>
    </row>
    <row r="13" spans="1:25" x14ac:dyDescent="0.3">
      <c r="A13">
        <v>12</v>
      </c>
      <c r="B13" t="s">
        <v>56</v>
      </c>
      <c r="C13">
        <v>4.8</v>
      </c>
      <c r="D13" t="s">
        <v>175</v>
      </c>
      <c r="E13">
        <v>7</v>
      </c>
      <c r="F13" t="s">
        <v>197</v>
      </c>
      <c r="G13">
        <v>5.0999999999999996</v>
      </c>
      <c r="H13" t="s">
        <v>193</v>
      </c>
      <c r="I13">
        <v>4.5999999999999996</v>
      </c>
      <c r="J13" t="s">
        <v>51</v>
      </c>
      <c r="K13">
        <v>12.9</v>
      </c>
      <c r="L13" t="s">
        <v>67</v>
      </c>
      <c r="M13">
        <v>9.6</v>
      </c>
      <c r="N13" t="s">
        <v>38</v>
      </c>
      <c r="O13">
        <v>7.7</v>
      </c>
      <c r="P13" t="s">
        <v>96</v>
      </c>
      <c r="Q13">
        <v>6.8</v>
      </c>
      <c r="R13" t="s">
        <v>154</v>
      </c>
      <c r="S13">
        <v>5.7</v>
      </c>
      <c r="T13" t="s">
        <v>40</v>
      </c>
      <c r="U13">
        <v>14</v>
      </c>
      <c r="V13" t="s">
        <v>198</v>
      </c>
      <c r="W13">
        <v>6</v>
      </c>
      <c r="Y13">
        <f t="shared" si="0"/>
        <v>84.2</v>
      </c>
    </row>
    <row r="14" spans="1:25" x14ac:dyDescent="0.3">
      <c r="A14">
        <v>13</v>
      </c>
      <c r="B14" t="s">
        <v>195</v>
      </c>
      <c r="C14">
        <v>4.5999999999999996</v>
      </c>
      <c r="D14" t="s">
        <v>90</v>
      </c>
      <c r="E14">
        <v>4.8</v>
      </c>
      <c r="F14" t="s">
        <v>199</v>
      </c>
      <c r="G14">
        <v>4.5</v>
      </c>
      <c r="H14" t="s">
        <v>131</v>
      </c>
      <c r="I14">
        <v>4.5</v>
      </c>
      <c r="J14" t="s">
        <v>51</v>
      </c>
      <c r="K14">
        <v>13</v>
      </c>
      <c r="L14" t="s">
        <v>67</v>
      </c>
      <c r="M14">
        <v>9.6999999999999993</v>
      </c>
      <c r="N14" t="s">
        <v>37</v>
      </c>
      <c r="O14">
        <v>7.5</v>
      </c>
      <c r="P14" t="s">
        <v>200</v>
      </c>
      <c r="Q14">
        <v>6.5</v>
      </c>
      <c r="R14" t="s">
        <v>40</v>
      </c>
      <c r="S14">
        <v>14</v>
      </c>
      <c r="T14" t="s">
        <v>102</v>
      </c>
      <c r="U14">
        <v>8.5</v>
      </c>
      <c r="V14" t="s">
        <v>124</v>
      </c>
      <c r="W14">
        <v>6.4</v>
      </c>
      <c r="Y14">
        <f t="shared" si="0"/>
        <v>84</v>
      </c>
    </row>
    <row r="15" spans="1:25" x14ac:dyDescent="0.3">
      <c r="A15">
        <v>14</v>
      </c>
      <c r="B15" t="s">
        <v>201</v>
      </c>
      <c r="C15">
        <v>3.9</v>
      </c>
      <c r="D15" t="s">
        <v>175</v>
      </c>
      <c r="E15">
        <v>7</v>
      </c>
      <c r="F15" t="s">
        <v>202</v>
      </c>
      <c r="G15">
        <v>5.0999999999999996</v>
      </c>
      <c r="H15" t="s">
        <v>78</v>
      </c>
      <c r="I15">
        <v>4.8</v>
      </c>
      <c r="J15" t="s">
        <v>51</v>
      </c>
      <c r="K15">
        <v>13</v>
      </c>
      <c r="L15" t="s">
        <v>92</v>
      </c>
      <c r="M15">
        <v>8.8000000000000007</v>
      </c>
      <c r="N15" t="s">
        <v>97</v>
      </c>
      <c r="O15">
        <v>7</v>
      </c>
      <c r="P15" t="s">
        <v>154</v>
      </c>
      <c r="Q15">
        <v>5.9</v>
      </c>
      <c r="R15" t="s">
        <v>106</v>
      </c>
      <c r="S15">
        <v>5.3</v>
      </c>
      <c r="T15" t="s">
        <v>40</v>
      </c>
      <c r="U15">
        <v>14</v>
      </c>
      <c r="V15" t="s">
        <v>102</v>
      </c>
      <c r="W15">
        <v>8.5</v>
      </c>
      <c r="Y15">
        <f t="shared" si="0"/>
        <v>83.299999999999983</v>
      </c>
    </row>
    <row r="16" spans="1:25" x14ac:dyDescent="0.3">
      <c r="A16">
        <v>15</v>
      </c>
      <c r="B16" t="s">
        <v>201</v>
      </c>
      <c r="C16">
        <v>4</v>
      </c>
      <c r="D16" t="s">
        <v>175</v>
      </c>
      <c r="E16">
        <v>7</v>
      </c>
      <c r="F16" t="s">
        <v>174</v>
      </c>
      <c r="G16">
        <v>5.5</v>
      </c>
      <c r="H16" t="s">
        <v>65</v>
      </c>
      <c r="I16">
        <v>4.5</v>
      </c>
      <c r="J16" t="s">
        <v>51</v>
      </c>
      <c r="K16">
        <v>13.1</v>
      </c>
      <c r="L16" t="s">
        <v>67</v>
      </c>
      <c r="M16">
        <v>9.6</v>
      </c>
      <c r="N16" t="s">
        <v>187</v>
      </c>
      <c r="O16">
        <v>8.3000000000000007</v>
      </c>
      <c r="P16" t="s">
        <v>97</v>
      </c>
      <c r="Q16">
        <v>7.1</v>
      </c>
      <c r="R16" t="s">
        <v>203</v>
      </c>
      <c r="S16">
        <v>5.6</v>
      </c>
      <c r="T16" t="s">
        <v>40</v>
      </c>
      <c r="U16">
        <v>14</v>
      </c>
      <c r="V16" t="s">
        <v>93</v>
      </c>
      <c r="W16">
        <v>5.3</v>
      </c>
      <c r="Y16">
        <f t="shared" si="0"/>
        <v>84</v>
      </c>
    </row>
    <row r="17" spans="1:25" x14ac:dyDescent="0.3">
      <c r="A17">
        <v>16</v>
      </c>
      <c r="B17" t="s">
        <v>33</v>
      </c>
      <c r="C17">
        <v>4.5999999999999996</v>
      </c>
      <c r="D17" t="s">
        <v>24</v>
      </c>
      <c r="E17">
        <v>8</v>
      </c>
      <c r="F17" t="s">
        <v>78</v>
      </c>
      <c r="G17">
        <v>4.8</v>
      </c>
      <c r="H17" t="s">
        <v>65</v>
      </c>
      <c r="I17">
        <v>4.5</v>
      </c>
      <c r="J17" t="s">
        <v>51</v>
      </c>
      <c r="K17">
        <v>13.1</v>
      </c>
      <c r="L17" t="s">
        <v>53</v>
      </c>
      <c r="M17">
        <v>7.6</v>
      </c>
      <c r="N17" t="s">
        <v>203</v>
      </c>
      <c r="O17">
        <v>5.7</v>
      </c>
      <c r="P17" t="s">
        <v>106</v>
      </c>
      <c r="Q17">
        <v>5.4</v>
      </c>
      <c r="R17" t="s">
        <v>40</v>
      </c>
      <c r="S17">
        <v>14</v>
      </c>
      <c r="T17" t="s">
        <v>102</v>
      </c>
      <c r="U17">
        <v>8.4</v>
      </c>
      <c r="V17" t="s">
        <v>32</v>
      </c>
      <c r="W17">
        <v>7.9</v>
      </c>
      <c r="Y17">
        <f t="shared" si="0"/>
        <v>84.000000000000014</v>
      </c>
    </row>
    <row r="18" spans="1:25" x14ac:dyDescent="0.3">
      <c r="A18">
        <v>17</v>
      </c>
      <c r="B18" t="s">
        <v>153</v>
      </c>
      <c r="C18">
        <v>4.0999999999999996</v>
      </c>
      <c r="D18" t="s">
        <v>24</v>
      </c>
      <c r="E18">
        <v>8.1999999999999993</v>
      </c>
      <c r="F18" t="s">
        <v>50</v>
      </c>
      <c r="G18">
        <v>5.4</v>
      </c>
      <c r="H18" t="s">
        <v>204</v>
      </c>
      <c r="I18">
        <v>4.4000000000000004</v>
      </c>
      <c r="J18" t="s">
        <v>51</v>
      </c>
      <c r="K18">
        <v>13.2</v>
      </c>
      <c r="L18" t="s">
        <v>67</v>
      </c>
      <c r="M18">
        <v>9.6</v>
      </c>
      <c r="N18" t="s">
        <v>92</v>
      </c>
      <c r="O18">
        <v>9</v>
      </c>
      <c r="P18" t="s">
        <v>53</v>
      </c>
      <c r="Q18">
        <v>7.7</v>
      </c>
      <c r="R18" t="s">
        <v>37</v>
      </c>
      <c r="S18">
        <v>7.6</v>
      </c>
      <c r="T18" t="s">
        <v>139</v>
      </c>
      <c r="U18">
        <v>7.6</v>
      </c>
      <c r="V18" t="s">
        <v>124</v>
      </c>
      <c r="W18">
        <v>6.6</v>
      </c>
      <c r="Y18">
        <f t="shared" si="0"/>
        <v>83.399999999999991</v>
      </c>
    </row>
    <row r="19" spans="1:25" x14ac:dyDescent="0.3">
      <c r="A19">
        <v>18</v>
      </c>
      <c r="B19" t="s">
        <v>23</v>
      </c>
      <c r="C19">
        <v>5.0999999999999996</v>
      </c>
      <c r="D19" t="s">
        <v>24</v>
      </c>
      <c r="E19">
        <v>8.1999999999999993</v>
      </c>
      <c r="F19" t="s">
        <v>175</v>
      </c>
      <c r="G19">
        <v>6.9</v>
      </c>
      <c r="H19" t="s">
        <v>50</v>
      </c>
      <c r="I19">
        <v>5.5</v>
      </c>
      <c r="J19" t="s">
        <v>51</v>
      </c>
      <c r="K19">
        <v>13.2</v>
      </c>
      <c r="L19" t="s">
        <v>67</v>
      </c>
      <c r="M19">
        <v>9.8000000000000007</v>
      </c>
      <c r="N19" t="s">
        <v>200</v>
      </c>
      <c r="O19">
        <v>6.7</v>
      </c>
      <c r="P19" t="s">
        <v>106</v>
      </c>
      <c r="Q19">
        <v>5.6</v>
      </c>
      <c r="R19" t="s">
        <v>30</v>
      </c>
      <c r="S19">
        <v>5.6</v>
      </c>
      <c r="T19" t="s">
        <v>102</v>
      </c>
      <c r="U19">
        <v>8.6999999999999993</v>
      </c>
      <c r="V19" t="s">
        <v>124</v>
      </c>
      <c r="W19">
        <v>6.8</v>
      </c>
      <c r="Y19">
        <f t="shared" si="0"/>
        <v>82.100000000000009</v>
      </c>
    </row>
    <row r="20" spans="1:25" x14ac:dyDescent="0.3">
      <c r="A20">
        <v>19</v>
      </c>
      <c r="B20" t="s">
        <v>205</v>
      </c>
      <c r="C20">
        <v>4.5999999999999996</v>
      </c>
      <c r="D20" t="s">
        <v>24</v>
      </c>
      <c r="E20">
        <v>8.3000000000000007</v>
      </c>
      <c r="F20" t="s">
        <v>175</v>
      </c>
      <c r="G20">
        <v>6.9</v>
      </c>
      <c r="H20" t="s">
        <v>50</v>
      </c>
      <c r="I20">
        <v>5.5</v>
      </c>
      <c r="J20" t="s">
        <v>51</v>
      </c>
      <c r="K20">
        <v>13.2</v>
      </c>
      <c r="L20" t="s">
        <v>67</v>
      </c>
      <c r="M20">
        <v>9.8000000000000007</v>
      </c>
      <c r="N20" t="s">
        <v>92</v>
      </c>
      <c r="O20">
        <v>9</v>
      </c>
      <c r="P20" t="s">
        <v>206</v>
      </c>
      <c r="Q20">
        <v>6.7</v>
      </c>
      <c r="R20" t="s">
        <v>154</v>
      </c>
      <c r="S20">
        <v>6.2</v>
      </c>
      <c r="T20" t="s">
        <v>124</v>
      </c>
      <c r="U20">
        <v>6.9</v>
      </c>
      <c r="V20" t="s">
        <v>55</v>
      </c>
      <c r="W20">
        <v>6.8</v>
      </c>
      <c r="Y20">
        <f t="shared" si="0"/>
        <v>83.9</v>
      </c>
    </row>
    <row r="21" spans="1:25" x14ac:dyDescent="0.3">
      <c r="A21">
        <v>20</v>
      </c>
      <c r="B21" t="s">
        <v>56</v>
      </c>
      <c r="C21">
        <v>4.9000000000000004</v>
      </c>
      <c r="D21" t="s">
        <v>24</v>
      </c>
      <c r="E21">
        <v>8.4</v>
      </c>
      <c r="F21" t="s">
        <v>207</v>
      </c>
      <c r="G21">
        <v>5</v>
      </c>
      <c r="H21" t="s">
        <v>208</v>
      </c>
      <c r="I21">
        <v>5</v>
      </c>
      <c r="J21" t="s">
        <v>51</v>
      </c>
      <c r="K21">
        <v>13.3</v>
      </c>
      <c r="L21" t="s">
        <v>67</v>
      </c>
      <c r="M21">
        <v>9.9</v>
      </c>
      <c r="N21" t="s">
        <v>187</v>
      </c>
      <c r="O21">
        <v>8.4</v>
      </c>
      <c r="P21" t="s">
        <v>37</v>
      </c>
      <c r="Q21">
        <v>7.6</v>
      </c>
      <c r="R21" t="s">
        <v>209</v>
      </c>
      <c r="S21">
        <v>5.8</v>
      </c>
      <c r="T21" t="s">
        <v>102</v>
      </c>
      <c r="U21">
        <v>8.8000000000000007</v>
      </c>
      <c r="V21" t="s">
        <v>124</v>
      </c>
      <c r="W21">
        <v>7</v>
      </c>
      <c r="Y21">
        <f t="shared" si="0"/>
        <v>84.1</v>
      </c>
    </row>
    <row r="22" spans="1:25" x14ac:dyDescent="0.3">
      <c r="A22">
        <v>21</v>
      </c>
      <c r="B22" t="s">
        <v>56</v>
      </c>
      <c r="C22">
        <v>4.9000000000000004</v>
      </c>
      <c r="D22" t="s">
        <v>50</v>
      </c>
      <c r="E22">
        <v>5.8</v>
      </c>
      <c r="F22" t="s">
        <v>91</v>
      </c>
      <c r="G22">
        <v>5</v>
      </c>
      <c r="H22" t="s">
        <v>210</v>
      </c>
      <c r="I22">
        <v>4.2</v>
      </c>
      <c r="J22" t="s">
        <v>92</v>
      </c>
      <c r="K22">
        <v>9</v>
      </c>
      <c r="L22" t="s">
        <v>37</v>
      </c>
      <c r="M22">
        <v>7.9</v>
      </c>
      <c r="N22" t="s">
        <v>206</v>
      </c>
      <c r="O22">
        <v>6.9</v>
      </c>
      <c r="P22" t="s">
        <v>211</v>
      </c>
      <c r="Q22">
        <v>6.4</v>
      </c>
      <c r="R22" t="s">
        <v>106</v>
      </c>
      <c r="S22">
        <v>5.7</v>
      </c>
      <c r="T22" t="s">
        <v>102</v>
      </c>
      <c r="U22">
        <v>8.9</v>
      </c>
      <c r="V22" t="s">
        <v>80</v>
      </c>
      <c r="W22">
        <v>7.9</v>
      </c>
      <c r="Y22">
        <f t="shared" si="0"/>
        <v>72.600000000000009</v>
      </c>
    </row>
    <row r="23" spans="1:25" x14ac:dyDescent="0.3">
      <c r="A23">
        <v>22</v>
      </c>
      <c r="B23" t="s">
        <v>212</v>
      </c>
      <c r="C23">
        <v>5.5</v>
      </c>
      <c r="D23" t="s">
        <v>24</v>
      </c>
      <c r="E23">
        <v>8.5</v>
      </c>
      <c r="F23" t="s">
        <v>50</v>
      </c>
      <c r="G23">
        <v>5.9</v>
      </c>
      <c r="H23" t="s">
        <v>91</v>
      </c>
      <c r="I23">
        <v>5.0999999999999996</v>
      </c>
      <c r="J23" t="s">
        <v>213</v>
      </c>
      <c r="K23">
        <v>10.6</v>
      </c>
      <c r="L23" t="s">
        <v>37</v>
      </c>
      <c r="M23">
        <v>8</v>
      </c>
      <c r="N23" t="s">
        <v>58</v>
      </c>
      <c r="O23">
        <v>7.9</v>
      </c>
      <c r="P23" t="s">
        <v>206</v>
      </c>
      <c r="Q23">
        <v>7</v>
      </c>
      <c r="R23" t="s">
        <v>200</v>
      </c>
      <c r="S23">
        <v>6.8</v>
      </c>
      <c r="T23" t="s">
        <v>41</v>
      </c>
      <c r="U23">
        <v>7.4</v>
      </c>
      <c r="V23" t="s">
        <v>124</v>
      </c>
      <c r="W23">
        <v>7.1</v>
      </c>
      <c r="Y23">
        <f t="shared" si="0"/>
        <v>79.8</v>
      </c>
    </row>
    <row r="24" spans="1:25" x14ac:dyDescent="0.3">
      <c r="A24">
        <v>23</v>
      </c>
      <c r="B24" t="s">
        <v>100</v>
      </c>
      <c r="C24">
        <v>4.8</v>
      </c>
      <c r="D24" t="s">
        <v>24</v>
      </c>
      <c r="E24">
        <v>8.5</v>
      </c>
      <c r="F24" t="s">
        <v>175</v>
      </c>
      <c r="G24">
        <v>6.7</v>
      </c>
      <c r="H24" t="s">
        <v>50</v>
      </c>
      <c r="I24">
        <v>5.9</v>
      </c>
      <c r="J24" t="s">
        <v>213</v>
      </c>
      <c r="K24">
        <v>10.7</v>
      </c>
      <c r="L24" t="s">
        <v>58</v>
      </c>
      <c r="M24">
        <v>8</v>
      </c>
      <c r="N24" t="s">
        <v>206</v>
      </c>
      <c r="O24">
        <v>7</v>
      </c>
      <c r="P24" t="s">
        <v>154</v>
      </c>
      <c r="Q24">
        <v>6.1</v>
      </c>
      <c r="R24" t="s">
        <v>106</v>
      </c>
      <c r="S24">
        <v>5.8</v>
      </c>
      <c r="T24" t="s">
        <v>40</v>
      </c>
      <c r="U24">
        <v>14</v>
      </c>
      <c r="V24" t="s">
        <v>124</v>
      </c>
      <c r="W24">
        <v>7.1</v>
      </c>
      <c r="Y24">
        <f t="shared" si="0"/>
        <v>84.6</v>
      </c>
    </row>
    <row r="25" spans="1:25" x14ac:dyDescent="0.3">
      <c r="A25">
        <v>24</v>
      </c>
      <c r="B25" t="s">
        <v>212</v>
      </c>
      <c r="C25">
        <v>5.5</v>
      </c>
      <c r="D25" t="s">
        <v>24</v>
      </c>
      <c r="E25">
        <v>8.5</v>
      </c>
      <c r="F25" t="s">
        <v>175</v>
      </c>
      <c r="G25">
        <v>6.8</v>
      </c>
      <c r="H25" t="s">
        <v>214</v>
      </c>
      <c r="I25">
        <v>4.5999999999999996</v>
      </c>
      <c r="J25" t="s">
        <v>58</v>
      </c>
      <c r="K25">
        <v>8.1</v>
      </c>
      <c r="L25" t="s">
        <v>37</v>
      </c>
      <c r="M25">
        <v>7.9</v>
      </c>
      <c r="N25" t="s">
        <v>44</v>
      </c>
      <c r="O25">
        <v>7.9</v>
      </c>
      <c r="P25" t="s">
        <v>206</v>
      </c>
      <c r="Q25">
        <v>7.2</v>
      </c>
      <c r="R25" t="s">
        <v>106</v>
      </c>
      <c r="S25">
        <v>5.9</v>
      </c>
      <c r="T25" t="s">
        <v>40</v>
      </c>
      <c r="U25">
        <v>14.2</v>
      </c>
      <c r="V25" t="s">
        <v>80</v>
      </c>
      <c r="W25">
        <v>8.1</v>
      </c>
      <c r="Y25">
        <f t="shared" si="0"/>
        <v>84.699999999999989</v>
      </c>
    </row>
    <row r="26" spans="1:25" x14ac:dyDescent="0.3">
      <c r="A26">
        <v>25</v>
      </c>
      <c r="B26" t="s">
        <v>47</v>
      </c>
      <c r="C26">
        <v>4.5</v>
      </c>
      <c r="D26" t="s">
        <v>215</v>
      </c>
      <c r="E26">
        <v>6.4</v>
      </c>
      <c r="F26" t="s">
        <v>90</v>
      </c>
      <c r="G26">
        <v>5.0999999999999996</v>
      </c>
      <c r="H26" t="s">
        <v>214</v>
      </c>
      <c r="I26">
        <v>4.5999999999999996</v>
      </c>
      <c r="J26" t="s">
        <v>213</v>
      </c>
      <c r="K26">
        <v>10.8</v>
      </c>
      <c r="L26" t="s">
        <v>58</v>
      </c>
      <c r="M26">
        <v>8.3000000000000007</v>
      </c>
      <c r="N26" t="s">
        <v>37</v>
      </c>
      <c r="O26">
        <v>8</v>
      </c>
      <c r="P26" t="s">
        <v>154</v>
      </c>
      <c r="Q26">
        <v>6.1</v>
      </c>
      <c r="R26" t="s">
        <v>40</v>
      </c>
      <c r="S26">
        <v>14.4</v>
      </c>
      <c r="T26" t="s">
        <v>80</v>
      </c>
      <c r="U26">
        <v>8.1999999999999993</v>
      </c>
      <c r="V26" t="s">
        <v>41</v>
      </c>
      <c r="W26">
        <v>7.6</v>
      </c>
      <c r="Y26">
        <f t="shared" si="0"/>
        <v>84</v>
      </c>
    </row>
    <row r="27" spans="1:25" x14ac:dyDescent="0.3">
      <c r="A27">
        <v>26</v>
      </c>
      <c r="B27" t="s">
        <v>216</v>
      </c>
      <c r="C27">
        <v>5</v>
      </c>
      <c r="D27" t="s">
        <v>90</v>
      </c>
      <c r="E27">
        <v>5.2</v>
      </c>
      <c r="F27" t="s">
        <v>208</v>
      </c>
      <c r="G27">
        <v>5.2</v>
      </c>
      <c r="H27" t="s">
        <v>194</v>
      </c>
      <c r="I27">
        <v>5.2</v>
      </c>
      <c r="J27" t="s">
        <v>92</v>
      </c>
      <c r="K27">
        <v>9.1</v>
      </c>
      <c r="L27" t="s">
        <v>66</v>
      </c>
      <c r="M27">
        <v>8.1999999999999993</v>
      </c>
      <c r="N27" t="s">
        <v>37</v>
      </c>
      <c r="O27">
        <v>8.1</v>
      </c>
      <c r="P27" t="s">
        <v>203</v>
      </c>
      <c r="Q27">
        <v>5.5</v>
      </c>
      <c r="R27" t="s">
        <v>40</v>
      </c>
      <c r="S27">
        <v>14.4</v>
      </c>
      <c r="T27" t="s">
        <v>102</v>
      </c>
      <c r="U27">
        <v>8.6999999999999993</v>
      </c>
      <c r="V27" t="s">
        <v>80</v>
      </c>
      <c r="W27">
        <v>8.1999999999999993</v>
      </c>
      <c r="Y27">
        <f t="shared" si="0"/>
        <v>82.8</v>
      </c>
    </row>
    <row r="28" spans="1:25" x14ac:dyDescent="0.3">
      <c r="A28">
        <v>27</v>
      </c>
      <c r="B28" t="s">
        <v>201</v>
      </c>
      <c r="C28">
        <v>3.7</v>
      </c>
      <c r="D28" t="s">
        <v>175</v>
      </c>
      <c r="E28">
        <v>6.9</v>
      </c>
      <c r="F28" t="s">
        <v>90</v>
      </c>
      <c r="G28">
        <v>5.3</v>
      </c>
      <c r="H28" t="s">
        <v>204</v>
      </c>
      <c r="I28">
        <v>4.5</v>
      </c>
      <c r="J28" t="s">
        <v>67</v>
      </c>
      <c r="K28">
        <v>9.6</v>
      </c>
      <c r="L28" t="s">
        <v>92</v>
      </c>
      <c r="M28">
        <v>9.1999999999999993</v>
      </c>
      <c r="N28" t="s">
        <v>37</v>
      </c>
      <c r="O28">
        <v>8.1</v>
      </c>
      <c r="P28" t="s">
        <v>217</v>
      </c>
      <c r="Q28">
        <v>7.5</v>
      </c>
      <c r="R28" t="s">
        <v>154</v>
      </c>
      <c r="S28">
        <v>6.1</v>
      </c>
      <c r="T28" t="s">
        <v>40</v>
      </c>
      <c r="U28">
        <v>14.4</v>
      </c>
      <c r="V28" t="s">
        <v>102</v>
      </c>
      <c r="W28">
        <v>8.9</v>
      </c>
      <c r="Y28">
        <f t="shared" si="0"/>
        <v>84.200000000000017</v>
      </c>
    </row>
    <row r="29" spans="1:25" x14ac:dyDescent="0.3">
      <c r="A29">
        <v>28</v>
      </c>
      <c r="B29" t="s">
        <v>205</v>
      </c>
      <c r="C29">
        <v>4.5999999999999996</v>
      </c>
      <c r="D29" t="s">
        <v>90</v>
      </c>
      <c r="E29">
        <v>5.3</v>
      </c>
      <c r="F29" t="s">
        <v>150</v>
      </c>
      <c r="G29">
        <v>5.0999999999999996</v>
      </c>
      <c r="H29" t="s">
        <v>214</v>
      </c>
      <c r="I29">
        <v>4.7</v>
      </c>
      <c r="J29" t="s">
        <v>67</v>
      </c>
      <c r="K29">
        <v>9.8000000000000007</v>
      </c>
      <c r="L29" t="s">
        <v>92</v>
      </c>
      <c r="M29">
        <v>9.1999999999999993</v>
      </c>
      <c r="N29" t="s">
        <v>53</v>
      </c>
      <c r="O29">
        <v>7.9</v>
      </c>
      <c r="P29" t="s">
        <v>106</v>
      </c>
      <c r="Q29">
        <v>5.7</v>
      </c>
      <c r="R29" t="s">
        <v>102</v>
      </c>
      <c r="S29">
        <v>9</v>
      </c>
      <c r="T29" t="s">
        <v>124</v>
      </c>
      <c r="U29">
        <v>7.1</v>
      </c>
      <c r="V29" t="s">
        <v>188</v>
      </c>
      <c r="W29">
        <v>5.0999999999999996</v>
      </c>
      <c r="Y29">
        <f t="shared" si="0"/>
        <v>73.5</v>
      </c>
    </row>
    <row r="30" spans="1:25" x14ac:dyDescent="0.3">
      <c r="A30">
        <v>29</v>
      </c>
      <c r="B30" t="s">
        <v>47</v>
      </c>
      <c r="C30">
        <v>4.5</v>
      </c>
      <c r="D30" t="s">
        <v>50</v>
      </c>
      <c r="E30">
        <v>5.8</v>
      </c>
      <c r="F30" t="s">
        <v>214</v>
      </c>
      <c r="G30">
        <v>4.7</v>
      </c>
      <c r="H30" t="s">
        <v>218</v>
      </c>
      <c r="I30">
        <v>4.5</v>
      </c>
      <c r="J30" t="s">
        <v>67</v>
      </c>
      <c r="K30">
        <v>9.9</v>
      </c>
      <c r="L30" t="s">
        <v>44</v>
      </c>
      <c r="M30">
        <v>8</v>
      </c>
      <c r="N30" t="s">
        <v>53</v>
      </c>
      <c r="O30">
        <v>8</v>
      </c>
      <c r="P30" t="s">
        <v>200</v>
      </c>
      <c r="Q30">
        <v>6.8</v>
      </c>
      <c r="R30" t="s">
        <v>102</v>
      </c>
      <c r="S30">
        <v>9</v>
      </c>
      <c r="T30" t="s">
        <v>80</v>
      </c>
      <c r="U30">
        <v>8.1</v>
      </c>
      <c r="V30" t="s">
        <v>188</v>
      </c>
      <c r="W30">
        <v>5.2</v>
      </c>
      <c r="Y30">
        <f t="shared" si="0"/>
        <v>74.5</v>
      </c>
    </row>
    <row r="31" spans="1:25" x14ac:dyDescent="0.3">
      <c r="A31">
        <v>30</v>
      </c>
      <c r="B31" t="s">
        <v>100</v>
      </c>
      <c r="C31">
        <v>4.8</v>
      </c>
      <c r="D31" t="s">
        <v>215</v>
      </c>
      <c r="E31">
        <v>6.5</v>
      </c>
      <c r="F31" t="s">
        <v>50</v>
      </c>
      <c r="G31">
        <v>5.8</v>
      </c>
      <c r="H31" t="s">
        <v>210</v>
      </c>
      <c r="I31">
        <v>4.2</v>
      </c>
      <c r="J31" t="s">
        <v>51</v>
      </c>
      <c r="K31">
        <v>13.1</v>
      </c>
      <c r="L31" t="s">
        <v>67</v>
      </c>
      <c r="M31">
        <v>10.1</v>
      </c>
      <c r="N31" t="s">
        <v>217</v>
      </c>
      <c r="O31">
        <v>7.5</v>
      </c>
      <c r="P31" t="s">
        <v>206</v>
      </c>
      <c r="Q31">
        <v>6.9</v>
      </c>
      <c r="R31" t="s">
        <v>106</v>
      </c>
      <c r="S31">
        <v>5.8</v>
      </c>
      <c r="T31" t="s">
        <v>102</v>
      </c>
      <c r="U31">
        <v>9</v>
      </c>
      <c r="V31" t="s">
        <v>112</v>
      </c>
      <c r="W31">
        <v>4.5999999999999996</v>
      </c>
      <c r="Y31">
        <f t="shared" si="0"/>
        <v>78.3</v>
      </c>
    </row>
    <row r="32" spans="1:25" x14ac:dyDescent="0.3">
      <c r="A32">
        <v>31</v>
      </c>
      <c r="B32" t="s">
        <v>153</v>
      </c>
      <c r="C32">
        <v>4.2</v>
      </c>
      <c r="D32" t="s">
        <v>90</v>
      </c>
      <c r="E32">
        <v>5.3</v>
      </c>
      <c r="F32" t="s">
        <v>219</v>
      </c>
      <c r="G32">
        <v>4.5999999999999996</v>
      </c>
      <c r="H32" t="s">
        <v>220</v>
      </c>
      <c r="I32">
        <v>4.2</v>
      </c>
      <c r="J32" t="s">
        <v>51</v>
      </c>
      <c r="K32">
        <v>13.3</v>
      </c>
      <c r="L32" t="s">
        <v>67</v>
      </c>
      <c r="M32">
        <v>10.1</v>
      </c>
      <c r="N32" t="s">
        <v>92</v>
      </c>
      <c r="O32">
        <v>9</v>
      </c>
      <c r="P32" t="s">
        <v>217</v>
      </c>
      <c r="Q32">
        <v>7.5</v>
      </c>
      <c r="R32" t="s">
        <v>221</v>
      </c>
      <c r="S32">
        <v>7.2</v>
      </c>
      <c r="T32" t="s">
        <v>40</v>
      </c>
      <c r="U32">
        <v>14.3</v>
      </c>
      <c r="V32" t="s">
        <v>112</v>
      </c>
      <c r="W32">
        <v>4.7</v>
      </c>
      <c r="Y32">
        <f t="shared" si="0"/>
        <v>84.4</v>
      </c>
    </row>
    <row r="33" spans="1:25" x14ac:dyDescent="0.3">
      <c r="A33">
        <v>32</v>
      </c>
      <c r="B33" t="s">
        <v>222</v>
      </c>
      <c r="C33">
        <v>3.7</v>
      </c>
      <c r="D33" t="s">
        <v>90</v>
      </c>
      <c r="E33">
        <v>5.3</v>
      </c>
      <c r="F33" t="s">
        <v>223</v>
      </c>
      <c r="G33">
        <v>4.9000000000000004</v>
      </c>
      <c r="H33" t="s">
        <v>189</v>
      </c>
      <c r="I33">
        <v>4.5999999999999996</v>
      </c>
      <c r="J33" t="s">
        <v>51</v>
      </c>
      <c r="K33">
        <v>13.4</v>
      </c>
      <c r="L33" t="s">
        <v>187</v>
      </c>
      <c r="M33">
        <v>8.5</v>
      </c>
      <c r="N33" t="s">
        <v>37</v>
      </c>
      <c r="O33">
        <v>8.1999999999999993</v>
      </c>
      <c r="P33" t="s">
        <v>53</v>
      </c>
      <c r="Q33">
        <v>7.9</v>
      </c>
      <c r="R33" t="s">
        <v>106</v>
      </c>
      <c r="S33">
        <v>6</v>
      </c>
      <c r="T33" t="s">
        <v>40</v>
      </c>
      <c r="U33">
        <v>14.3</v>
      </c>
      <c r="V33" t="s">
        <v>139</v>
      </c>
      <c r="W33">
        <v>7.8</v>
      </c>
      <c r="Y33">
        <f t="shared" si="0"/>
        <v>84.6</v>
      </c>
    </row>
    <row r="34" spans="1:25" x14ac:dyDescent="0.3">
      <c r="A34">
        <v>33</v>
      </c>
      <c r="B34" t="s">
        <v>47</v>
      </c>
      <c r="C34">
        <v>4.5999999999999996</v>
      </c>
      <c r="D34" t="s">
        <v>90</v>
      </c>
      <c r="E34">
        <v>5.4</v>
      </c>
      <c r="F34" t="s">
        <v>150</v>
      </c>
      <c r="G34">
        <v>5.2</v>
      </c>
      <c r="H34" t="s">
        <v>210</v>
      </c>
      <c r="I34">
        <v>4.3</v>
      </c>
      <c r="J34" t="s">
        <v>51</v>
      </c>
      <c r="K34">
        <v>13.4</v>
      </c>
      <c r="L34" t="s">
        <v>217</v>
      </c>
      <c r="M34">
        <v>7.6</v>
      </c>
      <c r="N34" t="s">
        <v>221</v>
      </c>
      <c r="O34">
        <v>7.3</v>
      </c>
      <c r="P34" t="s">
        <v>106</v>
      </c>
      <c r="Q34">
        <v>6.1</v>
      </c>
      <c r="R34" t="s">
        <v>40</v>
      </c>
      <c r="S34">
        <v>14.3</v>
      </c>
      <c r="T34" t="s">
        <v>80</v>
      </c>
      <c r="U34">
        <v>8.1</v>
      </c>
      <c r="V34" t="s">
        <v>139</v>
      </c>
      <c r="W34">
        <v>7.9</v>
      </c>
      <c r="Y34">
        <f t="shared" si="0"/>
        <v>84.2</v>
      </c>
    </row>
    <row r="35" spans="1:25" x14ac:dyDescent="0.3">
      <c r="A35">
        <v>34</v>
      </c>
      <c r="B35" t="s">
        <v>224</v>
      </c>
      <c r="C35">
        <v>4.4000000000000004</v>
      </c>
      <c r="D35" t="s">
        <v>215</v>
      </c>
      <c r="E35">
        <v>6.6</v>
      </c>
      <c r="F35" t="s">
        <v>90</v>
      </c>
      <c r="G35">
        <v>5.4</v>
      </c>
      <c r="H35" t="s">
        <v>225</v>
      </c>
      <c r="I35">
        <v>4.5</v>
      </c>
      <c r="J35" t="s">
        <v>51</v>
      </c>
      <c r="K35">
        <v>13.5</v>
      </c>
      <c r="L35" t="s">
        <v>92</v>
      </c>
      <c r="M35">
        <v>9</v>
      </c>
      <c r="N35" t="s">
        <v>217</v>
      </c>
      <c r="O35">
        <v>7.8</v>
      </c>
      <c r="P35" t="s">
        <v>221</v>
      </c>
      <c r="Q35">
        <v>7.2</v>
      </c>
      <c r="R35" t="s">
        <v>54</v>
      </c>
      <c r="S35">
        <v>6</v>
      </c>
      <c r="T35" t="s">
        <v>124</v>
      </c>
      <c r="U35">
        <v>7.2</v>
      </c>
      <c r="V35" t="s">
        <v>156</v>
      </c>
      <c r="W35">
        <v>5</v>
      </c>
      <c r="Y35">
        <f t="shared" si="0"/>
        <v>76.600000000000009</v>
      </c>
    </row>
    <row r="36" spans="1:25" x14ac:dyDescent="0.3">
      <c r="A36">
        <v>35</v>
      </c>
      <c r="B36" t="s">
        <v>226</v>
      </c>
      <c r="C36">
        <v>4.5999999999999996</v>
      </c>
      <c r="D36" t="s">
        <v>50</v>
      </c>
      <c r="E36">
        <v>5.8</v>
      </c>
      <c r="F36" t="s">
        <v>227</v>
      </c>
      <c r="G36">
        <v>5.7</v>
      </c>
      <c r="H36" t="s">
        <v>228</v>
      </c>
      <c r="I36">
        <v>4.2</v>
      </c>
      <c r="J36" t="s">
        <v>67</v>
      </c>
      <c r="K36">
        <v>9.8000000000000007</v>
      </c>
      <c r="L36" t="s">
        <v>66</v>
      </c>
      <c r="M36">
        <v>8.4</v>
      </c>
      <c r="N36" t="s">
        <v>106</v>
      </c>
      <c r="O36">
        <v>6.2</v>
      </c>
      <c r="P36" t="s">
        <v>128</v>
      </c>
      <c r="Q36">
        <v>5.8</v>
      </c>
      <c r="R36" t="s">
        <v>139</v>
      </c>
      <c r="S36">
        <v>7.8</v>
      </c>
      <c r="T36" t="s">
        <v>99</v>
      </c>
      <c r="U36">
        <v>6.8</v>
      </c>
      <c r="V36" t="s">
        <v>156</v>
      </c>
      <c r="W36">
        <v>5.0999999999999996</v>
      </c>
      <c r="Y36">
        <f t="shared" si="0"/>
        <v>70.199999999999989</v>
      </c>
    </row>
    <row r="37" spans="1:25" x14ac:dyDescent="0.3">
      <c r="A37">
        <v>36</v>
      </c>
      <c r="B37" t="s">
        <v>47</v>
      </c>
      <c r="C37">
        <v>4.7</v>
      </c>
      <c r="D37" t="s">
        <v>24</v>
      </c>
      <c r="E37">
        <v>8.4</v>
      </c>
      <c r="F37" t="s">
        <v>90</v>
      </c>
      <c r="G37">
        <v>5.4</v>
      </c>
      <c r="H37" t="s">
        <v>126</v>
      </c>
      <c r="I37">
        <v>5</v>
      </c>
      <c r="J37" t="s">
        <v>92</v>
      </c>
      <c r="K37">
        <v>9</v>
      </c>
      <c r="L37" t="s">
        <v>37</v>
      </c>
      <c r="M37">
        <v>8.4</v>
      </c>
      <c r="N37" t="s">
        <v>221</v>
      </c>
      <c r="O37">
        <v>7.5</v>
      </c>
      <c r="P37" t="s">
        <v>106</v>
      </c>
      <c r="Q37">
        <v>6.2</v>
      </c>
      <c r="R37" t="s">
        <v>40</v>
      </c>
      <c r="S37">
        <v>14.1</v>
      </c>
      <c r="T37" t="s">
        <v>102</v>
      </c>
      <c r="U37">
        <v>9</v>
      </c>
      <c r="V37" t="s">
        <v>156</v>
      </c>
      <c r="W37">
        <v>5.0999999999999996</v>
      </c>
      <c r="Y37">
        <f t="shared" si="0"/>
        <v>82.8</v>
      </c>
    </row>
    <row r="38" spans="1:25" x14ac:dyDescent="0.3">
      <c r="A38">
        <v>37</v>
      </c>
      <c r="B38" t="s">
        <v>226</v>
      </c>
      <c r="C38">
        <v>4.5999999999999996</v>
      </c>
      <c r="D38" t="s">
        <v>126</v>
      </c>
      <c r="E38">
        <v>5.0999999999999996</v>
      </c>
      <c r="F38" t="s">
        <v>229</v>
      </c>
      <c r="G38">
        <v>5.0999999999999996</v>
      </c>
      <c r="H38" t="s">
        <v>173</v>
      </c>
      <c r="I38">
        <v>4.7</v>
      </c>
      <c r="J38" t="s">
        <v>213</v>
      </c>
      <c r="K38">
        <v>10.5</v>
      </c>
      <c r="L38" t="s">
        <v>67</v>
      </c>
      <c r="M38">
        <v>9.9</v>
      </c>
      <c r="N38" t="s">
        <v>154</v>
      </c>
      <c r="O38">
        <v>6.4</v>
      </c>
      <c r="P38" t="s">
        <v>106</v>
      </c>
      <c r="Q38">
        <v>6.2</v>
      </c>
      <c r="R38" t="s">
        <v>40</v>
      </c>
      <c r="S38">
        <v>14.2</v>
      </c>
      <c r="T38" t="s">
        <v>139</v>
      </c>
      <c r="U38">
        <v>8.4</v>
      </c>
      <c r="V38" t="s">
        <v>99</v>
      </c>
      <c r="W38">
        <v>7</v>
      </c>
      <c r="Y38">
        <f t="shared" si="0"/>
        <v>82.100000000000009</v>
      </c>
    </row>
    <row r="39" spans="1:25" x14ac:dyDescent="0.3">
      <c r="A39">
        <v>38</v>
      </c>
      <c r="B39" t="s">
        <v>110</v>
      </c>
      <c r="C39">
        <v>4.4000000000000004</v>
      </c>
      <c r="D39" t="s">
        <v>90</v>
      </c>
      <c r="E39">
        <v>5.4</v>
      </c>
      <c r="F39" t="s">
        <v>126</v>
      </c>
      <c r="G39">
        <v>5.0999999999999996</v>
      </c>
      <c r="H39" t="s">
        <v>210</v>
      </c>
      <c r="I39">
        <v>4.3</v>
      </c>
      <c r="J39" t="s">
        <v>51</v>
      </c>
      <c r="K39">
        <v>13.4</v>
      </c>
      <c r="L39" t="s">
        <v>67</v>
      </c>
      <c r="M39">
        <v>10</v>
      </c>
      <c r="N39" t="s">
        <v>37</v>
      </c>
      <c r="O39">
        <v>8.5</v>
      </c>
      <c r="P39" t="s">
        <v>221</v>
      </c>
      <c r="Q39">
        <v>7.5</v>
      </c>
      <c r="R39" t="s">
        <v>106</v>
      </c>
      <c r="S39">
        <v>6.3</v>
      </c>
      <c r="T39" t="s">
        <v>40</v>
      </c>
      <c r="U39">
        <v>14.2</v>
      </c>
      <c r="V39" t="s">
        <v>156</v>
      </c>
      <c r="W39">
        <v>5</v>
      </c>
      <c r="Y39">
        <f t="shared" si="0"/>
        <v>84.100000000000009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267FD-053D-459B-8428-907F40AAF5A8}">
  <dimension ref="A1:Y39"/>
  <sheetViews>
    <sheetView topLeftCell="A26" workbookViewId="0">
      <selection activeCell="Y4" sqref="Y4"/>
    </sheetView>
  </sheetViews>
  <sheetFormatPr defaultRowHeight="14.4" x14ac:dyDescent="0.3"/>
  <cols>
    <col min="1" max="1" width="10.109375" bestFit="1" customWidth="1"/>
    <col min="2" max="2" width="17.6640625" customWidth="1"/>
    <col min="4" max="4" width="17.6640625" customWidth="1"/>
    <col min="6" max="6" width="17.6640625" customWidth="1"/>
    <col min="8" max="8" width="17.6640625" customWidth="1"/>
    <col min="10" max="10" width="17.6640625" customWidth="1"/>
    <col min="12" max="12" width="17.6640625" customWidth="1"/>
    <col min="14" max="14" width="17.6640625" customWidth="1"/>
    <col min="16" max="16" width="17.6640625" customWidth="1"/>
    <col min="18" max="18" width="17.6640625" customWidth="1"/>
    <col min="20" max="20" width="17.6640625" customWidth="1"/>
    <col min="22" max="22" width="17.6640625" customWidth="1"/>
  </cols>
  <sheetData>
    <row r="1" spans="1:25" x14ac:dyDescent="0.3">
      <c r="A1" t="s">
        <v>0</v>
      </c>
      <c r="B1" t="s">
        <v>1</v>
      </c>
      <c r="C1" t="s">
        <v>12</v>
      </c>
      <c r="D1" t="s">
        <v>2</v>
      </c>
      <c r="E1" t="s">
        <v>13</v>
      </c>
      <c r="F1" t="s">
        <v>3</v>
      </c>
      <c r="G1" t="s">
        <v>14</v>
      </c>
      <c r="H1" t="s">
        <v>4</v>
      </c>
      <c r="I1" t="s">
        <v>15</v>
      </c>
      <c r="J1" t="s">
        <v>5</v>
      </c>
      <c r="K1" t="s">
        <v>16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19</v>
      </c>
      <c r="R1" t="s">
        <v>9</v>
      </c>
      <c r="S1" t="s">
        <v>20</v>
      </c>
      <c r="T1" t="s">
        <v>10</v>
      </c>
      <c r="U1" t="s">
        <v>21</v>
      </c>
      <c r="V1" t="s">
        <v>11</v>
      </c>
      <c r="W1" t="s">
        <v>22</v>
      </c>
    </row>
    <row r="2" spans="1:25" x14ac:dyDescent="0.3">
      <c r="A2">
        <v>1</v>
      </c>
      <c r="Y2">
        <f t="shared" ref="Y2:Y3" si="0">SUM(C2:W2)</f>
        <v>0</v>
      </c>
    </row>
    <row r="3" spans="1:25" x14ac:dyDescent="0.3">
      <c r="A3">
        <v>2</v>
      </c>
      <c r="Y3">
        <f t="shared" si="0"/>
        <v>0</v>
      </c>
    </row>
    <row r="4" spans="1:25" x14ac:dyDescent="0.3">
      <c r="A4">
        <v>3</v>
      </c>
      <c r="B4" t="s">
        <v>56</v>
      </c>
      <c r="C4">
        <v>5.5</v>
      </c>
      <c r="D4" t="s">
        <v>103</v>
      </c>
      <c r="E4">
        <v>4.5</v>
      </c>
      <c r="F4" t="s">
        <v>104</v>
      </c>
      <c r="G4">
        <v>4.5</v>
      </c>
      <c r="H4" t="s">
        <v>105</v>
      </c>
      <c r="I4">
        <v>4.5</v>
      </c>
      <c r="J4" t="s">
        <v>106</v>
      </c>
      <c r="K4">
        <v>10.5</v>
      </c>
      <c r="L4" t="s">
        <v>86</v>
      </c>
      <c r="M4">
        <v>10</v>
      </c>
      <c r="N4" t="s">
        <v>107</v>
      </c>
      <c r="O4">
        <v>7</v>
      </c>
      <c r="P4" t="s">
        <v>108</v>
      </c>
      <c r="Q4">
        <v>6.5</v>
      </c>
      <c r="R4" t="s">
        <v>40</v>
      </c>
      <c r="S4">
        <v>15.1</v>
      </c>
      <c r="T4" t="s">
        <v>102</v>
      </c>
      <c r="U4">
        <v>9</v>
      </c>
      <c r="V4" t="s">
        <v>109</v>
      </c>
      <c r="W4">
        <v>6.1</v>
      </c>
      <c r="Y4">
        <f>SUM(C4:W4)</f>
        <v>83.199999999999989</v>
      </c>
    </row>
    <row r="5" spans="1:25" x14ac:dyDescent="0.3">
      <c r="A5">
        <v>4</v>
      </c>
      <c r="B5" t="s">
        <v>110</v>
      </c>
      <c r="C5">
        <v>4.5</v>
      </c>
      <c r="D5" t="s">
        <v>24</v>
      </c>
      <c r="E5">
        <v>7</v>
      </c>
      <c r="F5" t="s">
        <v>104</v>
      </c>
      <c r="G5">
        <v>4.7</v>
      </c>
      <c r="H5" t="s">
        <v>103</v>
      </c>
      <c r="I5">
        <v>4.5</v>
      </c>
      <c r="J5" t="s">
        <v>74</v>
      </c>
      <c r="K5">
        <v>12.7</v>
      </c>
      <c r="L5" t="s">
        <v>106</v>
      </c>
      <c r="M5">
        <v>10.6</v>
      </c>
      <c r="N5" t="s">
        <v>54</v>
      </c>
      <c r="O5">
        <v>6.9</v>
      </c>
      <c r="P5" t="s">
        <v>111</v>
      </c>
      <c r="Q5">
        <v>5.0999999999999996</v>
      </c>
      <c r="R5" t="s">
        <v>40</v>
      </c>
      <c r="S5">
        <v>15.2</v>
      </c>
      <c r="T5" t="s">
        <v>112</v>
      </c>
      <c r="U5">
        <v>6.1</v>
      </c>
      <c r="V5" t="s">
        <v>113</v>
      </c>
      <c r="W5">
        <v>5.7</v>
      </c>
      <c r="Y5">
        <f t="shared" ref="Y5:Y39" si="1">SUM(C5:W5)</f>
        <v>83</v>
      </c>
    </row>
    <row r="6" spans="1:25" x14ac:dyDescent="0.3">
      <c r="A6">
        <v>5</v>
      </c>
      <c r="B6" t="s">
        <v>110</v>
      </c>
      <c r="C6">
        <v>4.5</v>
      </c>
      <c r="D6" t="s">
        <v>24</v>
      </c>
      <c r="E6">
        <v>7</v>
      </c>
      <c r="F6" t="s">
        <v>36</v>
      </c>
      <c r="G6">
        <v>4.5999999999999996</v>
      </c>
      <c r="H6" t="s">
        <v>114</v>
      </c>
      <c r="I6">
        <v>4.4000000000000004</v>
      </c>
      <c r="J6" t="s">
        <v>74</v>
      </c>
      <c r="K6">
        <v>12.7</v>
      </c>
      <c r="L6" t="s">
        <v>67</v>
      </c>
      <c r="M6">
        <v>10</v>
      </c>
      <c r="N6" t="s">
        <v>115</v>
      </c>
      <c r="O6">
        <v>5.4</v>
      </c>
      <c r="P6" t="s">
        <v>116</v>
      </c>
      <c r="Q6">
        <v>5.4</v>
      </c>
      <c r="R6" t="s">
        <v>40</v>
      </c>
      <c r="S6">
        <v>15.2</v>
      </c>
      <c r="T6" t="s">
        <v>102</v>
      </c>
      <c r="U6">
        <v>8.9</v>
      </c>
      <c r="V6" t="s">
        <v>117</v>
      </c>
      <c r="W6">
        <v>5.5</v>
      </c>
      <c r="Y6">
        <f t="shared" si="1"/>
        <v>83.600000000000009</v>
      </c>
    </row>
    <row r="7" spans="1:25" x14ac:dyDescent="0.3">
      <c r="A7">
        <v>6</v>
      </c>
      <c r="B7" t="s">
        <v>47</v>
      </c>
      <c r="C7">
        <v>4.5</v>
      </c>
      <c r="D7" t="s">
        <v>24</v>
      </c>
      <c r="E7">
        <v>7.1</v>
      </c>
      <c r="F7" t="s">
        <v>35</v>
      </c>
      <c r="G7">
        <v>6.1</v>
      </c>
      <c r="H7" t="s">
        <v>114</v>
      </c>
      <c r="I7">
        <v>4.5</v>
      </c>
      <c r="J7" t="s">
        <v>86</v>
      </c>
      <c r="K7">
        <v>10</v>
      </c>
      <c r="L7" t="s">
        <v>118</v>
      </c>
      <c r="M7">
        <v>7.9</v>
      </c>
      <c r="N7" t="s">
        <v>107</v>
      </c>
      <c r="O7">
        <v>7.2</v>
      </c>
      <c r="P7" t="s">
        <v>119</v>
      </c>
      <c r="Q7">
        <v>5.6</v>
      </c>
      <c r="R7" t="s">
        <v>40</v>
      </c>
      <c r="S7">
        <v>15.3</v>
      </c>
      <c r="T7" t="s">
        <v>120</v>
      </c>
      <c r="U7">
        <v>8.1</v>
      </c>
      <c r="V7" t="s">
        <v>109</v>
      </c>
      <c r="W7">
        <v>6.1</v>
      </c>
      <c r="Y7">
        <f t="shared" si="1"/>
        <v>82.399999999999991</v>
      </c>
    </row>
    <row r="8" spans="1:25" x14ac:dyDescent="0.3">
      <c r="A8">
        <v>7</v>
      </c>
      <c r="B8" t="s">
        <v>121</v>
      </c>
      <c r="C8">
        <v>4.5</v>
      </c>
      <c r="D8" t="s">
        <v>35</v>
      </c>
      <c r="E8">
        <v>6.2</v>
      </c>
      <c r="F8" t="s">
        <v>122</v>
      </c>
      <c r="G8">
        <v>5.2</v>
      </c>
      <c r="H8" t="s">
        <v>123</v>
      </c>
      <c r="I8">
        <v>4.5</v>
      </c>
      <c r="J8" t="s">
        <v>106</v>
      </c>
      <c r="K8">
        <v>10.7</v>
      </c>
      <c r="L8" t="s">
        <v>118</v>
      </c>
      <c r="M8">
        <v>8</v>
      </c>
      <c r="N8" t="s">
        <v>107</v>
      </c>
      <c r="O8">
        <v>7.4</v>
      </c>
      <c r="P8" t="s">
        <v>119</v>
      </c>
      <c r="Q8">
        <v>5.7</v>
      </c>
      <c r="R8" t="s">
        <v>40</v>
      </c>
      <c r="S8">
        <v>15.3</v>
      </c>
      <c r="T8" t="s">
        <v>120</v>
      </c>
      <c r="U8">
        <v>8.1999999999999993</v>
      </c>
      <c r="V8" t="s">
        <v>124</v>
      </c>
      <c r="W8">
        <v>7.6</v>
      </c>
      <c r="Y8">
        <f t="shared" si="1"/>
        <v>83.3</v>
      </c>
    </row>
    <row r="9" spans="1:25" x14ac:dyDescent="0.3">
      <c r="A9">
        <v>8</v>
      </c>
      <c r="B9" t="s">
        <v>125</v>
      </c>
      <c r="C9">
        <v>4.4000000000000004</v>
      </c>
      <c r="D9" t="s">
        <v>35</v>
      </c>
      <c r="E9">
        <v>6.2</v>
      </c>
      <c r="F9" t="s">
        <v>126</v>
      </c>
      <c r="G9">
        <v>5.9</v>
      </c>
      <c r="H9" t="s">
        <v>127</v>
      </c>
      <c r="I9">
        <v>4.5</v>
      </c>
      <c r="J9" t="s">
        <v>86</v>
      </c>
      <c r="K9">
        <v>10.1</v>
      </c>
      <c r="L9" t="s">
        <v>37</v>
      </c>
      <c r="M9">
        <v>9.1999999999999993</v>
      </c>
      <c r="N9" t="s">
        <v>128</v>
      </c>
      <c r="O9">
        <v>6.6</v>
      </c>
      <c r="P9" t="s">
        <v>129</v>
      </c>
      <c r="Q9">
        <v>5.7</v>
      </c>
      <c r="R9" t="s">
        <v>40</v>
      </c>
      <c r="S9">
        <v>15.4</v>
      </c>
      <c r="T9" t="s">
        <v>102</v>
      </c>
      <c r="U9">
        <v>9.1</v>
      </c>
      <c r="V9" t="s">
        <v>109</v>
      </c>
      <c r="W9">
        <v>6.2</v>
      </c>
      <c r="Y9">
        <f t="shared" si="1"/>
        <v>83.3</v>
      </c>
    </row>
    <row r="10" spans="1:25" x14ac:dyDescent="0.3">
      <c r="A10">
        <v>9</v>
      </c>
      <c r="B10" t="s">
        <v>47</v>
      </c>
      <c r="C10">
        <v>4.5</v>
      </c>
      <c r="D10" t="s">
        <v>126</v>
      </c>
      <c r="E10">
        <v>6.1</v>
      </c>
      <c r="F10" t="s">
        <v>130</v>
      </c>
      <c r="G10">
        <v>4.5</v>
      </c>
      <c r="H10" t="s">
        <v>131</v>
      </c>
      <c r="I10">
        <v>4.4000000000000004</v>
      </c>
      <c r="J10" t="s">
        <v>106</v>
      </c>
      <c r="K10">
        <v>10.9</v>
      </c>
      <c r="L10" t="s">
        <v>37</v>
      </c>
      <c r="M10">
        <v>9.1999999999999993</v>
      </c>
      <c r="N10" t="s">
        <v>107</v>
      </c>
      <c r="O10">
        <v>7.6</v>
      </c>
      <c r="P10" t="s">
        <v>132</v>
      </c>
      <c r="Q10">
        <v>5</v>
      </c>
      <c r="R10" t="s">
        <v>40</v>
      </c>
      <c r="S10">
        <v>15.4</v>
      </c>
      <c r="T10" t="s">
        <v>102</v>
      </c>
      <c r="U10">
        <v>9.1</v>
      </c>
      <c r="V10" t="s">
        <v>109</v>
      </c>
      <c r="W10">
        <v>6.3</v>
      </c>
      <c r="Y10">
        <f t="shared" si="1"/>
        <v>82.999999999999986</v>
      </c>
    </row>
    <row r="11" spans="1:25" x14ac:dyDescent="0.3">
      <c r="A11">
        <v>10</v>
      </c>
      <c r="B11" t="s">
        <v>133</v>
      </c>
      <c r="C11">
        <v>4.5999999999999996</v>
      </c>
      <c r="D11" t="s">
        <v>24</v>
      </c>
      <c r="E11">
        <v>7</v>
      </c>
      <c r="F11" t="s">
        <v>131</v>
      </c>
      <c r="G11">
        <v>4.5999999999999996</v>
      </c>
      <c r="H11" t="s">
        <v>123</v>
      </c>
      <c r="I11">
        <v>4.5</v>
      </c>
      <c r="J11" t="s">
        <v>74</v>
      </c>
      <c r="K11">
        <v>12.7</v>
      </c>
      <c r="L11" t="s">
        <v>106</v>
      </c>
      <c r="M11">
        <v>11</v>
      </c>
      <c r="N11" t="s">
        <v>86</v>
      </c>
      <c r="O11">
        <v>10</v>
      </c>
      <c r="P11" t="s">
        <v>107</v>
      </c>
      <c r="Q11">
        <v>7.7</v>
      </c>
      <c r="R11" t="s">
        <v>102</v>
      </c>
      <c r="S11">
        <v>9.1</v>
      </c>
      <c r="T11" t="s">
        <v>134</v>
      </c>
      <c r="U11">
        <v>6.5</v>
      </c>
      <c r="V11" t="s">
        <v>135</v>
      </c>
      <c r="W11">
        <v>5.7</v>
      </c>
      <c r="Y11">
        <f t="shared" si="1"/>
        <v>83.4</v>
      </c>
    </row>
    <row r="12" spans="1:25" x14ac:dyDescent="0.3">
      <c r="A12">
        <v>11</v>
      </c>
      <c r="B12" t="s">
        <v>133</v>
      </c>
      <c r="C12">
        <v>4.5999999999999996</v>
      </c>
      <c r="D12" t="s">
        <v>126</v>
      </c>
      <c r="E12">
        <v>6.3</v>
      </c>
      <c r="F12" t="s">
        <v>136</v>
      </c>
      <c r="G12">
        <v>5.0999999999999996</v>
      </c>
      <c r="H12" t="s">
        <v>131</v>
      </c>
      <c r="I12">
        <v>4.7</v>
      </c>
      <c r="J12" t="s">
        <v>74</v>
      </c>
      <c r="K12">
        <v>12.8</v>
      </c>
      <c r="L12" t="s">
        <v>106</v>
      </c>
      <c r="M12">
        <v>11</v>
      </c>
      <c r="N12" t="s">
        <v>66</v>
      </c>
      <c r="O12">
        <v>8.1999999999999993</v>
      </c>
      <c r="P12" t="s">
        <v>107</v>
      </c>
      <c r="Q12">
        <v>7.9</v>
      </c>
      <c r="R12" t="s">
        <v>124</v>
      </c>
      <c r="S12">
        <v>7.7</v>
      </c>
      <c r="T12" t="s">
        <v>134</v>
      </c>
      <c r="U12">
        <v>6.7</v>
      </c>
      <c r="V12" t="s">
        <v>109</v>
      </c>
      <c r="W12">
        <v>6.5</v>
      </c>
      <c r="Y12">
        <f t="shared" si="1"/>
        <v>81.5</v>
      </c>
    </row>
    <row r="13" spans="1:25" x14ac:dyDescent="0.3">
      <c r="A13">
        <v>12</v>
      </c>
      <c r="B13" t="s">
        <v>137</v>
      </c>
      <c r="C13">
        <v>4.9000000000000004</v>
      </c>
      <c r="D13" t="s">
        <v>35</v>
      </c>
      <c r="E13">
        <v>6.1</v>
      </c>
      <c r="F13" t="s">
        <v>122</v>
      </c>
      <c r="G13">
        <v>5.4</v>
      </c>
      <c r="H13" t="s">
        <v>138</v>
      </c>
      <c r="I13">
        <v>4.4000000000000004</v>
      </c>
      <c r="J13" t="s">
        <v>74</v>
      </c>
      <c r="K13">
        <v>12.9</v>
      </c>
      <c r="L13" t="s">
        <v>106</v>
      </c>
      <c r="M13">
        <v>10.9</v>
      </c>
      <c r="N13" t="s">
        <v>86</v>
      </c>
      <c r="O13">
        <v>10.1</v>
      </c>
      <c r="P13" t="s">
        <v>119</v>
      </c>
      <c r="Q13">
        <v>5.7</v>
      </c>
      <c r="R13" t="s">
        <v>102</v>
      </c>
      <c r="S13">
        <v>9</v>
      </c>
      <c r="T13" t="s">
        <v>139</v>
      </c>
      <c r="U13">
        <v>8.5</v>
      </c>
      <c r="V13" t="s">
        <v>135</v>
      </c>
      <c r="W13">
        <v>5.8</v>
      </c>
      <c r="Y13">
        <f t="shared" si="1"/>
        <v>83.7</v>
      </c>
    </row>
    <row r="14" spans="1:25" x14ac:dyDescent="0.3">
      <c r="A14">
        <v>13</v>
      </c>
      <c r="B14" t="s">
        <v>110</v>
      </c>
      <c r="C14">
        <v>4.5</v>
      </c>
      <c r="D14" t="s">
        <v>35</v>
      </c>
      <c r="E14">
        <v>6.2</v>
      </c>
      <c r="F14" t="s">
        <v>136</v>
      </c>
      <c r="G14">
        <v>5.2</v>
      </c>
      <c r="H14" t="s">
        <v>114</v>
      </c>
      <c r="I14">
        <v>4.8</v>
      </c>
      <c r="J14" t="s">
        <v>74</v>
      </c>
      <c r="K14">
        <v>13.1</v>
      </c>
      <c r="L14" t="s">
        <v>106</v>
      </c>
      <c r="M14">
        <v>10.9</v>
      </c>
      <c r="N14" t="s">
        <v>86</v>
      </c>
      <c r="O14">
        <v>10.199999999999999</v>
      </c>
      <c r="P14" t="s">
        <v>67</v>
      </c>
      <c r="Q14">
        <v>9.9</v>
      </c>
      <c r="R14" t="s">
        <v>134</v>
      </c>
      <c r="S14">
        <v>7</v>
      </c>
      <c r="T14" t="s">
        <v>140</v>
      </c>
      <c r="U14">
        <v>6.1</v>
      </c>
      <c r="V14" t="s">
        <v>93</v>
      </c>
      <c r="W14">
        <v>5.6</v>
      </c>
      <c r="Y14">
        <f t="shared" si="1"/>
        <v>83.499999999999986</v>
      </c>
    </row>
    <row r="15" spans="1:25" x14ac:dyDescent="0.3">
      <c r="A15">
        <v>14</v>
      </c>
      <c r="B15" t="s">
        <v>33</v>
      </c>
      <c r="C15">
        <v>4.7</v>
      </c>
      <c r="D15" t="s">
        <v>35</v>
      </c>
      <c r="E15">
        <v>6.2</v>
      </c>
      <c r="F15" t="s">
        <v>141</v>
      </c>
      <c r="G15">
        <v>4.8</v>
      </c>
      <c r="H15" t="s">
        <v>123</v>
      </c>
      <c r="I15">
        <v>4.5</v>
      </c>
      <c r="J15" t="s">
        <v>74</v>
      </c>
      <c r="K15">
        <v>13.2</v>
      </c>
      <c r="L15" t="s">
        <v>106</v>
      </c>
      <c r="M15">
        <v>11</v>
      </c>
      <c r="N15" t="s">
        <v>86</v>
      </c>
      <c r="O15">
        <v>10.3</v>
      </c>
      <c r="P15" t="s">
        <v>132</v>
      </c>
      <c r="Q15">
        <v>5</v>
      </c>
      <c r="R15" t="s">
        <v>102</v>
      </c>
      <c r="S15">
        <v>9</v>
      </c>
      <c r="T15" t="s">
        <v>142</v>
      </c>
      <c r="U15">
        <v>8.1</v>
      </c>
      <c r="V15" t="s">
        <v>134</v>
      </c>
      <c r="W15">
        <v>7.1</v>
      </c>
      <c r="Y15">
        <f t="shared" si="1"/>
        <v>83.899999999999991</v>
      </c>
    </row>
    <row r="16" spans="1:25" x14ac:dyDescent="0.3">
      <c r="A16">
        <v>15</v>
      </c>
      <c r="B16" t="s">
        <v>23</v>
      </c>
      <c r="C16">
        <v>5</v>
      </c>
      <c r="D16" t="s">
        <v>24</v>
      </c>
      <c r="E16">
        <v>6.9</v>
      </c>
      <c r="F16" t="s">
        <v>143</v>
      </c>
      <c r="G16">
        <v>5.6</v>
      </c>
      <c r="H16" t="s">
        <v>136</v>
      </c>
      <c r="I16">
        <v>5.2</v>
      </c>
      <c r="J16" t="s">
        <v>74</v>
      </c>
      <c r="K16">
        <v>13.3</v>
      </c>
      <c r="L16" t="s">
        <v>106</v>
      </c>
      <c r="M16">
        <v>11</v>
      </c>
      <c r="N16" t="s">
        <v>86</v>
      </c>
      <c r="O16">
        <v>10.5</v>
      </c>
      <c r="P16" t="s">
        <v>66</v>
      </c>
      <c r="Q16">
        <v>8.5</v>
      </c>
      <c r="R16" t="s">
        <v>140</v>
      </c>
      <c r="S16">
        <v>6.2</v>
      </c>
      <c r="T16" t="s">
        <v>144</v>
      </c>
      <c r="U16">
        <v>6.1</v>
      </c>
      <c r="V16" t="s">
        <v>145</v>
      </c>
      <c r="W16">
        <v>5.5</v>
      </c>
      <c r="Y16">
        <f t="shared" si="1"/>
        <v>83.8</v>
      </c>
    </row>
    <row r="17" spans="1:25" x14ac:dyDescent="0.3">
      <c r="A17">
        <v>16</v>
      </c>
      <c r="B17" t="s">
        <v>133</v>
      </c>
      <c r="C17">
        <v>4.7</v>
      </c>
      <c r="D17" t="s">
        <v>146</v>
      </c>
      <c r="E17">
        <v>6.4</v>
      </c>
      <c r="F17" t="s">
        <v>143</v>
      </c>
      <c r="G17">
        <v>5.7</v>
      </c>
      <c r="H17" t="s">
        <v>131</v>
      </c>
      <c r="I17">
        <v>4.9000000000000004</v>
      </c>
      <c r="J17" t="s">
        <v>74</v>
      </c>
      <c r="K17">
        <v>13.3</v>
      </c>
      <c r="L17" t="s">
        <v>106</v>
      </c>
      <c r="M17">
        <v>11.1</v>
      </c>
      <c r="N17" t="s">
        <v>86</v>
      </c>
      <c r="O17">
        <v>10.6</v>
      </c>
      <c r="P17" t="s">
        <v>148</v>
      </c>
      <c r="Q17">
        <v>5</v>
      </c>
      <c r="R17" t="s">
        <v>139</v>
      </c>
      <c r="S17">
        <v>8.5</v>
      </c>
      <c r="T17" t="s">
        <v>124</v>
      </c>
      <c r="U17">
        <v>7.5</v>
      </c>
      <c r="V17" t="s">
        <v>147</v>
      </c>
      <c r="W17">
        <v>5.6</v>
      </c>
      <c r="Y17">
        <f t="shared" si="1"/>
        <v>83.3</v>
      </c>
    </row>
    <row r="18" spans="1:25" x14ac:dyDescent="0.3">
      <c r="A18">
        <v>17</v>
      </c>
      <c r="B18" t="s">
        <v>88</v>
      </c>
      <c r="C18">
        <v>5.2</v>
      </c>
      <c r="D18" t="s">
        <v>35</v>
      </c>
      <c r="E18">
        <v>6.2</v>
      </c>
      <c r="F18" t="s">
        <v>149</v>
      </c>
      <c r="G18">
        <v>4.8</v>
      </c>
      <c r="H18" t="s">
        <v>138</v>
      </c>
      <c r="I18">
        <v>4.5999999999999996</v>
      </c>
      <c r="J18" t="s">
        <v>74</v>
      </c>
      <c r="K18">
        <v>13.4</v>
      </c>
      <c r="L18" t="s">
        <v>106</v>
      </c>
      <c r="M18">
        <v>11.2</v>
      </c>
      <c r="N18" t="s">
        <v>86</v>
      </c>
      <c r="O18">
        <v>10.6</v>
      </c>
      <c r="P18" t="s">
        <v>53</v>
      </c>
      <c r="Q18">
        <v>7.4</v>
      </c>
      <c r="R18" t="s">
        <v>139</v>
      </c>
      <c r="S18">
        <v>8.6999999999999993</v>
      </c>
      <c r="T18" t="s">
        <v>145</v>
      </c>
      <c r="U18">
        <v>5.6</v>
      </c>
      <c r="V18" t="s">
        <v>135</v>
      </c>
      <c r="W18">
        <v>5.5</v>
      </c>
      <c r="Y18">
        <f t="shared" si="1"/>
        <v>83.199999999999989</v>
      </c>
    </row>
    <row r="19" spans="1:25" x14ac:dyDescent="0.3">
      <c r="A19">
        <v>18</v>
      </c>
      <c r="B19" t="s">
        <v>33</v>
      </c>
      <c r="C19">
        <v>4.8</v>
      </c>
      <c r="D19" t="s">
        <v>24</v>
      </c>
      <c r="E19">
        <v>7.1</v>
      </c>
      <c r="F19" t="s">
        <v>35</v>
      </c>
      <c r="G19">
        <v>6.3</v>
      </c>
      <c r="H19" t="s">
        <v>150</v>
      </c>
      <c r="I19">
        <v>4.4000000000000004</v>
      </c>
      <c r="J19" t="s">
        <v>74</v>
      </c>
      <c r="K19">
        <v>13.5</v>
      </c>
      <c r="L19" t="s">
        <v>106</v>
      </c>
      <c r="M19">
        <v>11.3</v>
      </c>
      <c r="N19" t="s">
        <v>118</v>
      </c>
      <c r="O19">
        <v>7.4</v>
      </c>
      <c r="P19" t="s">
        <v>38</v>
      </c>
      <c r="Q19">
        <v>6.7</v>
      </c>
      <c r="R19" t="s">
        <v>139</v>
      </c>
      <c r="S19">
        <v>9</v>
      </c>
      <c r="T19" t="s">
        <v>32</v>
      </c>
      <c r="U19">
        <v>6.8</v>
      </c>
      <c r="V19" t="s">
        <v>109</v>
      </c>
      <c r="W19">
        <v>6.6</v>
      </c>
      <c r="Y19">
        <f t="shared" si="1"/>
        <v>83.899999999999991</v>
      </c>
    </row>
    <row r="20" spans="1:25" x14ac:dyDescent="0.3">
      <c r="A20">
        <v>19</v>
      </c>
      <c r="B20" t="s">
        <v>137</v>
      </c>
      <c r="C20">
        <v>4.9000000000000004</v>
      </c>
      <c r="D20" t="s">
        <v>35</v>
      </c>
      <c r="E20">
        <v>6.3</v>
      </c>
      <c r="F20" t="s">
        <v>151</v>
      </c>
      <c r="G20">
        <v>4.7</v>
      </c>
      <c r="H20" t="s">
        <v>127</v>
      </c>
      <c r="I20">
        <v>4.7</v>
      </c>
      <c r="J20" t="s">
        <v>74</v>
      </c>
      <c r="K20">
        <v>13.5</v>
      </c>
      <c r="L20" t="s">
        <v>106</v>
      </c>
      <c r="M20">
        <v>11.3</v>
      </c>
      <c r="N20" t="s">
        <v>118</v>
      </c>
      <c r="O20">
        <v>7.5</v>
      </c>
      <c r="P20" t="s">
        <v>38</v>
      </c>
      <c r="Q20">
        <v>6.8</v>
      </c>
      <c r="R20" t="s">
        <v>152</v>
      </c>
      <c r="S20">
        <v>5.8</v>
      </c>
      <c r="T20" t="s">
        <v>139</v>
      </c>
      <c r="U20">
        <v>9.1</v>
      </c>
      <c r="V20" t="s">
        <v>102</v>
      </c>
      <c r="W20">
        <v>8.8000000000000007</v>
      </c>
      <c r="Y20">
        <f t="shared" si="1"/>
        <v>83.399999999999977</v>
      </c>
    </row>
    <row r="21" spans="1:25" x14ac:dyDescent="0.3">
      <c r="A21">
        <v>20</v>
      </c>
      <c r="B21" t="s">
        <v>133</v>
      </c>
      <c r="C21">
        <v>4.8</v>
      </c>
      <c r="D21" t="s">
        <v>35</v>
      </c>
      <c r="E21">
        <v>6.4</v>
      </c>
      <c r="F21" t="s">
        <v>149</v>
      </c>
      <c r="G21">
        <v>5</v>
      </c>
      <c r="H21" t="s">
        <v>155</v>
      </c>
      <c r="I21">
        <v>4.4000000000000004</v>
      </c>
      <c r="J21" t="s">
        <v>74</v>
      </c>
      <c r="K21">
        <v>13.6</v>
      </c>
      <c r="L21" t="s">
        <v>106</v>
      </c>
      <c r="M21">
        <v>11.4</v>
      </c>
      <c r="N21" t="s">
        <v>118</v>
      </c>
      <c r="O21">
        <v>7.6</v>
      </c>
      <c r="P21" t="s">
        <v>38</v>
      </c>
      <c r="Q21">
        <v>6.8</v>
      </c>
      <c r="R21" t="s">
        <v>139</v>
      </c>
      <c r="S21">
        <v>9.1999999999999993</v>
      </c>
      <c r="T21" t="s">
        <v>102</v>
      </c>
      <c r="U21">
        <v>8.8000000000000007</v>
      </c>
      <c r="V21" t="s">
        <v>135</v>
      </c>
      <c r="W21">
        <v>5.5</v>
      </c>
      <c r="Y21">
        <f t="shared" si="1"/>
        <v>83.5</v>
      </c>
    </row>
    <row r="22" spans="1:25" x14ac:dyDescent="0.3">
      <c r="A22">
        <v>21</v>
      </c>
      <c r="B22" t="s">
        <v>137</v>
      </c>
      <c r="C22">
        <v>5</v>
      </c>
      <c r="D22" t="s">
        <v>35</v>
      </c>
      <c r="E22">
        <v>6.4</v>
      </c>
      <c r="F22" t="s">
        <v>138</v>
      </c>
      <c r="G22">
        <v>4.9000000000000004</v>
      </c>
      <c r="H22" t="s">
        <v>151</v>
      </c>
      <c r="I22">
        <v>4.7</v>
      </c>
      <c r="J22" t="s">
        <v>74</v>
      </c>
      <c r="K22">
        <v>13.7</v>
      </c>
      <c r="L22" t="s">
        <v>106</v>
      </c>
      <c r="M22">
        <v>11.4</v>
      </c>
      <c r="N22" t="s">
        <v>66</v>
      </c>
      <c r="O22">
        <v>8.3000000000000007</v>
      </c>
      <c r="P22" t="s">
        <v>154</v>
      </c>
      <c r="Q22">
        <v>7.5</v>
      </c>
      <c r="R22" t="s">
        <v>54</v>
      </c>
      <c r="S22">
        <v>6.6</v>
      </c>
      <c r="T22" t="s">
        <v>139</v>
      </c>
      <c r="U22">
        <v>9.3000000000000007</v>
      </c>
      <c r="V22" t="s">
        <v>135</v>
      </c>
      <c r="W22">
        <v>5.7</v>
      </c>
      <c r="Y22">
        <f t="shared" si="1"/>
        <v>83.5</v>
      </c>
    </row>
    <row r="23" spans="1:25" x14ac:dyDescent="0.3">
      <c r="A23">
        <v>22</v>
      </c>
      <c r="B23" t="s">
        <v>153</v>
      </c>
      <c r="C23">
        <v>4.3</v>
      </c>
      <c r="D23" t="s">
        <v>126</v>
      </c>
      <c r="E23">
        <v>6</v>
      </c>
      <c r="F23" t="s">
        <v>127</v>
      </c>
      <c r="G23">
        <v>4.8</v>
      </c>
      <c r="H23" t="s">
        <v>151</v>
      </c>
      <c r="I23">
        <v>4.8</v>
      </c>
      <c r="J23" t="s">
        <v>74</v>
      </c>
      <c r="K23">
        <v>13.7</v>
      </c>
      <c r="L23" t="s">
        <v>106</v>
      </c>
      <c r="M23">
        <v>11.4</v>
      </c>
      <c r="N23" t="s">
        <v>37</v>
      </c>
      <c r="O23">
        <v>9.1999999999999993</v>
      </c>
      <c r="P23" t="s">
        <v>154</v>
      </c>
      <c r="Q23">
        <v>7.6</v>
      </c>
      <c r="R23" t="s">
        <v>139</v>
      </c>
      <c r="S23">
        <v>9.3000000000000007</v>
      </c>
      <c r="T23" t="s">
        <v>109</v>
      </c>
      <c r="U23">
        <v>6.9</v>
      </c>
      <c r="V23" t="s">
        <v>135</v>
      </c>
      <c r="W23">
        <v>5.7</v>
      </c>
      <c r="Y23">
        <f t="shared" si="1"/>
        <v>83.700000000000017</v>
      </c>
    </row>
    <row r="24" spans="1:25" x14ac:dyDescent="0.3">
      <c r="A24">
        <v>23</v>
      </c>
      <c r="B24" t="s">
        <v>133</v>
      </c>
      <c r="C24">
        <v>5</v>
      </c>
      <c r="D24" t="s">
        <v>24</v>
      </c>
      <c r="E24">
        <v>7.3</v>
      </c>
      <c r="F24" t="s">
        <v>35</v>
      </c>
      <c r="G24">
        <v>6.4</v>
      </c>
      <c r="H24" t="s">
        <v>138</v>
      </c>
      <c r="I24">
        <v>5.0999999999999996</v>
      </c>
      <c r="J24" t="s">
        <v>74</v>
      </c>
      <c r="K24">
        <v>13.7</v>
      </c>
      <c r="L24" t="s">
        <v>107</v>
      </c>
      <c r="M24">
        <v>7.8</v>
      </c>
      <c r="N24" t="s">
        <v>154</v>
      </c>
      <c r="O24">
        <v>7.7</v>
      </c>
      <c r="P24" t="s">
        <v>111</v>
      </c>
      <c r="Q24">
        <v>5.5</v>
      </c>
      <c r="R24" t="s">
        <v>139</v>
      </c>
      <c r="S24">
        <v>9.5</v>
      </c>
      <c r="T24" t="s">
        <v>120</v>
      </c>
      <c r="U24">
        <v>7.8</v>
      </c>
      <c r="V24" t="s">
        <v>156</v>
      </c>
      <c r="W24">
        <v>7.3</v>
      </c>
      <c r="Y24">
        <f t="shared" si="1"/>
        <v>83.1</v>
      </c>
    </row>
    <row r="25" spans="1:25" x14ac:dyDescent="0.3">
      <c r="A25">
        <v>24</v>
      </c>
      <c r="B25" t="s">
        <v>137</v>
      </c>
      <c r="C25">
        <v>5.0999999999999996</v>
      </c>
      <c r="D25" t="s">
        <v>24</v>
      </c>
      <c r="E25">
        <v>7.3</v>
      </c>
      <c r="F25" t="s">
        <v>138</v>
      </c>
      <c r="G25">
        <v>5.0999999999999996</v>
      </c>
      <c r="H25" t="s">
        <v>127</v>
      </c>
      <c r="I25">
        <v>4.8</v>
      </c>
      <c r="J25" t="s">
        <v>74</v>
      </c>
      <c r="K25">
        <v>13.7</v>
      </c>
      <c r="L25" t="s">
        <v>106</v>
      </c>
      <c r="M25">
        <v>11.3</v>
      </c>
      <c r="N25" t="s">
        <v>107</v>
      </c>
      <c r="O25">
        <v>7.8</v>
      </c>
      <c r="P25" t="s">
        <v>157</v>
      </c>
      <c r="Q25">
        <v>5.3</v>
      </c>
      <c r="R25" t="s">
        <v>139</v>
      </c>
      <c r="S25">
        <v>9.5</v>
      </c>
      <c r="T25" t="s">
        <v>158</v>
      </c>
      <c r="U25">
        <v>7.6</v>
      </c>
      <c r="V25" t="s">
        <v>159</v>
      </c>
      <c r="W25">
        <v>5.0999999999999996</v>
      </c>
      <c r="Y25">
        <f t="shared" si="1"/>
        <v>82.59999999999998</v>
      </c>
    </row>
    <row r="26" spans="1:25" x14ac:dyDescent="0.3">
      <c r="A26">
        <v>25</v>
      </c>
      <c r="B26" t="s">
        <v>23</v>
      </c>
      <c r="C26">
        <v>5</v>
      </c>
      <c r="D26" t="s">
        <v>146</v>
      </c>
      <c r="E26">
        <v>6.4</v>
      </c>
      <c r="F26" t="s">
        <v>35</v>
      </c>
      <c r="G26">
        <v>6.3</v>
      </c>
      <c r="H26" t="s">
        <v>160</v>
      </c>
      <c r="I26">
        <v>5</v>
      </c>
      <c r="J26" t="s">
        <v>74</v>
      </c>
      <c r="K26">
        <v>13.7</v>
      </c>
      <c r="L26" t="s">
        <v>106</v>
      </c>
      <c r="M26">
        <v>11.2</v>
      </c>
      <c r="N26" t="s">
        <v>161</v>
      </c>
      <c r="O26">
        <v>6.8</v>
      </c>
      <c r="P26" t="s">
        <v>162</v>
      </c>
      <c r="Q26">
        <v>5.9</v>
      </c>
      <c r="R26" t="s">
        <v>111</v>
      </c>
      <c r="S26">
        <v>5.6</v>
      </c>
      <c r="T26" t="s">
        <v>102</v>
      </c>
      <c r="U26">
        <v>8.9</v>
      </c>
      <c r="V26" t="s">
        <v>158</v>
      </c>
      <c r="W26">
        <v>7.6</v>
      </c>
      <c r="Y26">
        <f t="shared" si="1"/>
        <v>82.399999999999991</v>
      </c>
    </row>
    <row r="27" spans="1:25" x14ac:dyDescent="0.3">
      <c r="A27">
        <v>26</v>
      </c>
      <c r="B27" t="s">
        <v>137</v>
      </c>
      <c r="C27">
        <v>5.0999999999999996</v>
      </c>
      <c r="D27" t="s">
        <v>35</v>
      </c>
      <c r="E27">
        <v>6.3</v>
      </c>
      <c r="F27" t="s">
        <v>50</v>
      </c>
      <c r="G27">
        <v>5.4</v>
      </c>
      <c r="H27" t="s">
        <v>160</v>
      </c>
      <c r="I27">
        <v>5</v>
      </c>
      <c r="J27" t="s">
        <v>74</v>
      </c>
      <c r="K27">
        <v>13.7</v>
      </c>
      <c r="L27" t="s">
        <v>107</v>
      </c>
      <c r="M27">
        <v>7.9</v>
      </c>
      <c r="N27" t="s">
        <v>163</v>
      </c>
      <c r="O27">
        <v>6.4</v>
      </c>
      <c r="P27" t="s">
        <v>164</v>
      </c>
      <c r="Q27">
        <v>5.0999999999999996</v>
      </c>
      <c r="R27" t="s">
        <v>139</v>
      </c>
      <c r="S27">
        <v>9.5</v>
      </c>
      <c r="T27" t="s">
        <v>102</v>
      </c>
      <c r="U27">
        <v>8.9</v>
      </c>
      <c r="V27" t="s">
        <v>140</v>
      </c>
      <c r="W27">
        <v>6.3</v>
      </c>
      <c r="Y27">
        <f t="shared" si="1"/>
        <v>79.600000000000009</v>
      </c>
    </row>
    <row r="28" spans="1:25" x14ac:dyDescent="0.3">
      <c r="A28">
        <v>27</v>
      </c>
      <c r="B28" t="s">
        <v>165</v>
      </c>
      <c r="C28">
        <v>4.5</v>
      </c>
      <c r="D28" t="s">
        <v>24</v>
      </c>
      <c r="E28">
        <v>7.4</v>
      </c>
      <c r="F28" t="s">
        <v>35</v>
      </c>
      <c r="G28">
        <v>6.3</v>
      </c>
      <c r="H28" t="s">
        <v>166</v>
      </c>
      <c r="I28">
        <v>4.4000000000000004</v>
      </c>
      <c r="J28" t="s">
        <v>74</v>
      </c>
      <c r="K28">
        <v>13.7</v>
      </c>
      <c r="L28" t="s">
        <v>106</v>
      </c>
      <c r="M28">
        <v>11.1</v>
      </c>
      <c r="N28" t="s">
        <v>66</v>
      </c>
      <c r="O28">
        <v>8.3000000000000007</v>
      </c>
      <c r="P28" t="s">
        <v>53</v>
      </c>
      <c r="Q28">
        <v>7.3</v>
      </c>
      <c r="R28" t="s">
        <v>156</v>
      </c>
      <c r="S28">
        <v>7.4</v>
      </c>
      <c r="T28" t="s">
        <v>134</v>
      </c>
      <c r="U28">
        <v>6.9</v>
      </c>
      <c r="V28" t="s">
        <v>140</v>
      </c>
      <c r="W28">
        <v>6.4</v>
      </c>
      <c r="Y28">
        <f t="shared" si="1"/>
        <v>83.700000000000017</v>
      </c>
    </row>
    <row r="29" spans="1:25" x14ac:dyDescent="0.3">
      <c r="A29">
        <v>28</v>
      </c>
      <c r="B29" t="s">
        <v>167</v>
      </c>
      <c r="C29">
        <v>4.2</v>
      </c>
      <c r="D29" t="s">
        <v>24</v>
      </c>
      <c r="E29">
        <v>7.4</v>
      </c>
      <c r="F29" t="s">
        <v>35</v>
      </c>
      <c r="G29">
        <v>6.3</v>
      </c>
      <c r="H29" t="s">
        <v>151</v>
      </c>
      <c r="I29">
        <v>5</v>
      </c>
      <c r="J29" t="s">
        <v>74</v>
      </c>
      <c r="K29">
        <v>13.8</v>
      </c>
      <c r="L29" t="s">
        <v>106</v>
      </c>
      <c r="M29">
        <v>11.1</v>
      </c>
      <c r="N29" t="s">
        <v>107</v>
      </c>
      <c r="O29">
        <v>8</v>
      </c>
      <c r="P29" t="s">
        <v>53</v>
      </c>
      <c r="Q29">
        <v>7.4</v>
      </c>
      <c r="R29" t="s">
        <v>102</v>
      </c>
      <c r="S29">
        <v>8.9</v>
      </c>
      <c r="T29" t="s">
        <v>168</v>
      </c>
      <c r="U29">
        <v>5.9</v>
      </c>
      <c r="V29" t="s">
        <v>169</v>
      </c>
      <c r="W29">
        <v>5</v>
      </c>
      <c r="Y29">
        <f t="shared" si="1"/>
        <v>83.000000000000014</v>
      </c>
    </row>
    <row r="30" spans="1:25" x14ac:dyDescent="0.3">
      <c r="A30">
        <v>29</v>
      </c>
      <c r="B30" t="s">
        <v>137</v>
      </c>
      <c r="C30">
        <v>5.0999999999999996</v>
      </c>
      <c r="D30" t="s">
        <v>35</v>
      </c>
      <c r="E30">
        <v>6.3</v>
      </c>
      <c r="F30" t="s">
        <v>127</v>
      </c>
      <c r="G30">
        <v>4.8</v>
      </c>
      <c r="H30" t="s">
        <v>131</v>
      </c>
      <c r="I30">
        <v>4.8</v>
      </c>
      <c r="J30" t="s">
        <v>66</v>
      </c>
      <c r="K30">
        <v>8.4</v>
      </c>
      <c r="L30" t="s">
        <v>107</v>
      </c>
      <c r="M30">
        <v>8.1</v>
      </c>
      <c r="N30" t="s">
        <v>170</v>
      </c>
      <c r="O30">
        <v>6.5</v>
      </c>
      <c r="P30" t="s">
        <v>162</v>
      </c>
      <c r="Q30">
        <v>6.2</v>
      </c>
      <c r="R30" t="s">
        <v>40</v>
      </c>
      <c r="S30">
        <v>14.7</v>
      </c>
      <c r="T30" t="s">
        <v>109</v>
      </c>
      <c r="U30">
        <v>7.3</v>
      </c>
      <c r="V30" t="s">
        <v>147</v>
      </c>
      <c r="W30">
        <v>5.2</v>
      </c>
      <c r="Y30">
        <f t="shared" si="1"/>
        <v>77.400000000000006</v>
      </c>
    </row>
    <row r="31" spans="1:25" x14ac:dyDescent="0.3">
      <c r="A31">
        <v>30</v>
      </c>
      <c r="B31" t="s">
        <v>56</v>
      </c>
      <c r="C31">
        <v>5.5</v>
      </c>
      <c r="D31" t="s">
        <v>126</v>
      </c>
      <c r="E31">
        <v>6</v>
      </c>
      <c r="F31" t="s">
        <v>160</v>
      </c>
      <c r="G31">
        <v>5.2</v>
      </c>
      <c r="H31" t="s">
        <v>151</v>
      </c>
      <c r="I31">
        <v>5.0999999999999996</v>
      </c>
      <c r="J31" t="s">
        <v>74</v>
      </c>
      <c r="K31">
        <v>13.7</v>
      </c>
      <c r="L31" t="s">
        <v>37</v>
      </c>
      <c r="M31">
        <v>9.1999999999999993</v>
      </c>
      <c r="N31" t="s">
        <v>162</v>
      </c>
      <c r="O31">
        <v>6.3</v>
      </c>
      <c r="P31" t="s">
        <v>119</v>
      </c>
      <c r="Q31">
        <v>5.7</v>
      </c>
      <c r="R31" t="s">
        <v>139</v>
      </c>
      <c r="S31">
        <v>9.3000000000000007</v>
      </c>
      <c r="T31" t="s">
        <v>156</v>
      </c>
      <c r="U31">
        <v>7.5</v>
      </c>
      <c r="V31" t="s">
        <v>171</v>
      </c>
      <c r="W31">
        <v>7.3</v>
      </c>
      <c r="Y31">
        <f t="shared" si="1"/>
        <v>80.8</v>
      </c>
    </row>
    <row r="32" spans="1:25" x14ac:dyDescent="0.3">
      <c r="A32">
        <v>31</v>
      </c>
      <c r="B32" t="s">
        <v>77</v>
      </c>
      <c r="C32">
        <v>4.9000000000000004</v>
      </c>
      <c r="D32" t="s">
        <v>50</v>
      </c>
      <c r="E32">
        <v>5.3</v>
      </c>
      <c r="F32" t="s">
        <v>151</v>
      </c>
      <c r="G32">
        <v>5.0999999999999996</v>
      </c>
      <c r="H32" t="s">
        <v>131</v>
      </c>
      <c r="I32">
        <v>4.8</v>
      </c>
      <c r="J32" t="s">
        <v>74</v>
      </c>
      <c r="K32">
        <v>13.8</v>
      </c>
      <c r="L32" t="s">
        <v>86</v>
      </c>
      <c r="M32">
        <v>10.3</v>
      </c>
      <c r="N32" t="s">
        <v>67</v>
      </c>
      <c r="O32">
        <v>9.6999999999999993</v>
      </c>
      <c r="P32" t="s">
        <v>172</v>
      </c>
      <c r="Q32">
        <v>5</v>
      </c>
      <c r="R32" t="s">
        <v>139</v>
      </c>
      <c r="S32">
        <v>9.5</v>
      </c>
      <c r="T32" t="s">
        <v>156</v>
      </c>
      <c r="U32">
        <v>7.6</v>
      </c>
      <c r="V32" t="s">
        <v>147</v>
      </c>
      <c r="W32">
        <v>5.3</v>
      </c>
      <c r="Y32">
        <f t="shared" si="1"/>
        <v>81.3</v>
      </c>
    </row>
    <row r="33" spans="1:25" x14ac:dyDescent="0.3">
      <c r="A33">
        <v>32</v>
      </c>
      <c r="B33" t="s">
        <v>33</v>
      </c>
      <c r="C33">
        <v>4.5</v>
      </c>
      <c r="D33" t="s">
        <v>151</v>
      </c>
      <c r="E33">
        <v>5.2</v>
      </c>
      <c r="F33" t="s">
        <v>127</v>
      </c>
      <c r="G33">
        <v>5.0999999999999996</v>
      </c>
      <c r="H33" t="s">
        <v>173</v>
      </c>
      <c r="I33">
        <v>4.5</v>
      </c>
      <c r="J33" t="s">
        <v>74</v>
      </c>
      <c r="K33">
        <v>13.8</v>
      </c>
      <c r="L33" t="s">
        <v>106</v>
      </c>
      <c r="M33">
        <v>10.7</v>
      </c>
      <c r="N33" t="s">
        <v>163</v>
      </c>
      <c r="O33">
        <v>6.5</v>
      </c>
      <c r="P33" t="s">
        <v>172</v>
      </c>
      <c r="Q33">
        <v>5.0999999999999996</v>
      </c>
      <c r="R33" t="s">
        <v>139</v>
      </c>
      <c r="S33">
        <v>9.5</v>
      </c>
      <c r="T33" t="s">
        <v>102</v>
      </c>
      <c r="U33">
        <v>8.9</v>
      </c>
      <c r="V33" t="s">
        <v>156</v>
      </c>
      <c r="W33">
        <v>7.7</v>
      </c>
      <c r="Y33">
        <f t="shared" si="1"/>
        <v>81.500000000000014</v>
      </c>
    </row>
    <row r="34" spans="1:25" x14ac:dyDescent="0.3">
      <c r="A34">
        <v>33</v>
      </c>
      <c r="B34" t="s">
        <v>23</v>
      </c>
      <c r="C34">
        <v>5</v>
      </c>
      <c r="D34" t="s">
        <v>174</v>
      </c>
      <c r="E34">
        <v>6.5</v>
      </c>
      <c r="F34" t="s">
        <v>126</v>
      </c>
      <c r="G34">
        <v>6.2</v>
      </c>
      <c r="H34" t="s">
        <v>151</v>
      </c>
      <c r="I34">
        <v>5.3</v>
      </c>
      <c r="J34" t="s">
        <v>74</v>
      </c>
      <c r="K34">
        <v>13.8</v>
      </c>
      <c r="L34" t="s">
        <v>82</v>
      </c>
      <c r="M34">
        <v>9.3000000000000007</v>
      </c>
      <c r="N34" t="s">
        <v>53</v>
      </c>
      <c r="O34">
        <v>7.5</v>
      </c>
      <c r="P34" t="s">
        <v>161</v>
      </c>
      <c r="Q34">
        <v>6.7</v>
      </c>
      <c r="R34" t="s">
        <v>111</v>
      </c>
      <c r="S34">
        <v>5.6</v>
      </c>
      <c r="T34" t="s">
        <v>156</v>
      </c>
      <c r="U34">
        <v>7.8</v>
      </c>
      <c r="V34" t="s">
        <v>171</v>
      </c>
      <c r="W34">
        <v>7.6</v>
      </c>
      <c r="Y34">
        <f t="shared" si="1"/>
        <v>81.299999999999983</v>
      </c>
    </row>
    <row r="35" spans="1:25" x14ac:dyDescent="0.3">
      <c r="A35">
        <v>34</v>
      </c>
      <c r="B35" t="s">
        <v>121</v>
      </c>
      <c r="C35">
        <v>4.5999999999999996</v>
      </c>
      <c r="D35" t="s">
        <v>175</v>
      </c>
      <c r="E35">
        <v>5.6</v>
      </c>
      <c r="F35" t="s">
        <v>131</v>
      </c>
      <c r="G35">
        <v>5</v>
      </c>
      <c r="H35" t="s">
        <v>176</v>
      </c>
      <c r="I35">
        <v>4.0999999999999996</v>
      </c>
      <c r="J35" t="s">
        <v>74</v>
      </c>
      <c r="K35">
        <v>13.8</v>
      </c>
      <c r="L35" t="s">
        <v>107</v>
      </c>
      <c r="M35">
        <v>8</v>
      </c>
      <c r="N35" t="s">
        <v>118</v>
      </c>
      <c r="O35">
        <v>7.5</v>
      </c>
      <c r="P35" t="s">
        <v>177</v>
      </c>
      <c r="Q35">
        <v>6</v>
      </c>
      <c r="R35" t="s">
        <v>178</v>
      </c>
      <c r="S35">
        <v>5.5</v>
      </c>
      <c r="T35" t="s">
        <v>134</v>
      </c>
      <c r="U35">
        <v>6.9</v>
      </c>
      <c r="V35" t="s">
        <v>139</v>
      </c>
      <c r="W35">
        <v>9.6</v>
      </c>
      <c r="Y35">
        <f t="shared" si="1"/>
        <v>76.599999999999994</v>
      </c>
    </row>
    <row r="36" spans="1:25" x14ac:dyDescent="0.3">
      <c r="A36">
        <v>35</v>
      </c>
      <c r="B36" t="s">
        <v>56</v>
      </c>
      <c r="C36">
        <v>5.6</v>
      </c>
      <c r="D36" t="s">
        <v>126</v>
      </c>
      <c r="E36">
        <v>6.3</v>
      </c>
      <c r="F36" t="s">
        <v>151</v>
      </c>
      <c r="G36">
        <v>5.3</v>
      </c>
      <c r="H36" t="s">
        <v>179</v>
      </c>
      <c r="I36">
        <v>4.5</v>
      </c>
      <c r="J36" t="s">
        <v>74</v>
      </c>
      <c r="K36">
        <v>13.8</v>
      </c>
      <c r="L36" t="s">
        <v>107</v>
      </c>
      <c r="M36">
        <v>8.1</v>
      </c>
      <c r="N36" t="s">
        <v>53</v>
      </c>
      <c r="O36">
        <v>7.6</v>
      </c>
      <c r="P36" t="s">
        <v>161</v>
      </c>
      <c r="Q36">
        <v>6.7</v>
      </c>
      <c r="R36" t="s">
        <v>139</v>
      </c>
      <c r="S36">
        <v>9.6</v>
      </c>
      <c r="T36" t="s">
        <v>171</v>
      </c>
      <c r="U36">
        <v>7.6</v>
      </c>
      <c r="V36" t="s">
        <v>159</v>
      </c>
      <c r="W36">
        <v>5.2</v>
      </c>
      <c r="Y36">
        <f t="shared" si="1"/>
        <v>80.3</v>
      </c>
    </row>
    <row r="37" spans="1:25" x14ac:dyDescent="0.3">
      <c r="A37">
        <v>36</v>
      </c>
      <c r="B37" t="s">
        <v>133</v>
      </c>
      <c r="C37">
        <v>5.2</v>
      </c>
      <c r="D37" t="s">
        <v>126</v>
      </c>
      <c r="E37">
        <v>6.4</v>
      </c>
      <c r="F37" t="s">
        <v>131</v>
      </c>
      <c r="G37">
        <v>5.0999999999999996</v>
      </c>
      <c r="H37" t="s">
        <v>176</v>
      </c>
      <c r="I37">
        <v>4.2</v>
      </c>
      <c r="J37" t="s">
        <v>74</v>
      </c>
      <c r="K37">
        <v>13.8</v>
      </c>
      <c r="L37" t="s">
        <v>82</v>
      </c>
      <c r="M37">
        <v>9.5</v>
      </c>
      <c r="N37" t="s">
        <v>107</v>
      </c>
      <c r="O37">
        <v>8.1999999999999993</v>
      </c>
      <c r="P37" t="s">
        <v>157</v>
      </c>
      <c r="Q37">
        <v>5.4</v>
      </c>
      <c r="R37" t="s">
        <v>171</v>
      </c>
      <c r="S37">
        <v>7.6</v>
      </c>
      <c r="T37" t="s">
        <v>109</v>
      </c>
      <c r="U37">
        <v>7.1</v>
      </c>
      <c r="V37" t="s">
        <v>140</v>
      </c>
      <c r="W37">
        <v>6.7</v>
      </c>
      <c r="Y37">
        <f t="shared" si="1"/>
        <v>79.2</v>
      </c>
    </row>
    <row r="38" spans="1:25" x14ac:dyDescent="0.3">
      <c r="A38">
        <v>37</v>
      </c>
      <c r="B38" t="s">
        <v>23</v>
      </c>
      <c r="C38">
        <v>5</v>
      </c>
      <c r="D38" t="s">
        <v>126</v>
      </c>
      <c r="E38">
        <v>6.5</v>
      </c>
      <c r="F38" t="s">
        <v>180</v>
      </c>
      <c r="G38">
        <v>5.4</v>
      </c>
      <c r="H38" t="s">
        <v>181</v>
      </c>
      <c r="I38">
        <v>4.8</v>
      </c>
      <c r="J38" t="s">
        <v>74</v>
      </c>
      <c r="K38">
        <v>13.7</v>
      </c>
      <c r="L38" t="s">
        <v>106</v>
      </c>
      <c r="M38">
        <v>10.5</v>
      </c>
      <c r="N38" t="s">
        <v>107</v>
      </c>
      <c r="O38">
        <v>8.3000000000000007</v>
      </c>
      <c r="P38" t="s">
        <v>53</v>
      </c>
      <c r="Q38">
        <v>7.7</v>
      </c>
      <c r="R38" t="s">
        <v>111</v>
      </c>
      <c r="S38">
        <v>5.7</v>
      </c>
      <c r="T38" t="s">
        <v>102</v>
      </c>
      <c r="U38">
        <v>9</v>
      </c>
      <c r="V38" t="s">
        <v>145</v>
      </c>
      <c r="W38">
        <v>5.3</v>
      </c>
      <c r="Y38">
        <f t="shared" si="1"/>
        <v>81.900000000000006</v>
      </c>
    </row>
    <row r="39" spans="1:25" x14ac:dyDescent="0.3">
      <c r="A39">
        <v>38</v>
      </c>
      <c r="B39" t="s">
        <v>56</v>
      </c>
      <c r="C39">
        <v>5.7</v>
      </c>
      <c r="D39" t="s">
        <v>126</v>
      </c>
      <c r="E39">
        <v>6.5</v>
      </c>
      <c r="F39" t="s">
        <v>160</v>
      </c>
      <c r="G39">
        <v>5.2</v>
      </c>
      <c r="H39" t="s">
        <v>173</v>
      </c>
      <c r="I39">
        <v>4.5</v>
      </c>
      <c r="J39" t="s">
        <v>74</v>
      </c>
      <c r="K39">
        <v>13.6</v>
      </c>
      <c r="L39" t="s">
        <v>86</v>
      </c>
      <c r="M39">
        <v>10.3</v>
      </c>
      <c r="N39" t="s">
        <v>53</v>
      </c>
      <c r="O39">
        <v>7.9</v>
      </c>
      <c r="P39" t="s">
        <v>163</v>
      </c>
      <c r="Q39">
        <v>6.3</v>
      </c>
      <c r="R39" t="s">
        <v>139</v>
      </c>
      <c r="S39">
        <v>9.4</v>
      </c>
      <c r="T39" t="s">
        <v>102</v>
      </c>
      <c r="U39">
        <v>9.1</v>
      </c>
      <c r="V39" t="s">
        <v>144</v>
      </c>
      <c r="W39">
        <v>5.8</v>
      </c>
      <c r="Y39">
        <f t="shared" si="1"/>
        <v>84.299999999999983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21.22</vt:lpstr>
      <vt:lpstr>22.23</vt:lpstr>
      <vt:lpstr>23.24</vt:lpstr>
      <vt:lpstr>24.25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Reeder</dc:creator>
  <cp:lastModifiedBy>David Reeder</cp:lastModifiedBy>
  <dcterms:created xsi:type="dcterms:W3CDTF">2026-03-05T10:21:06Z</dcterms:created>
  <dcterms:modified xsi:type="dcterms:W3CDTF">2026-03-13T16:12:54Z</dcterms:modified>
</cp:coreProperties>
</file>